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导出摘要" sheetId="1" r:id="rId5"/>
    <sheet name="报价表 - 1、 需求分析 | Demand analysis" sheetId="2" r:id="rId6"/>
    <sheet name="报价表 - 2、界面 &amp; 交互设计 | UI &amp; UX Des" sheetId="3" r:id="rId7"/>
    <sheet name="报价表 - 3、安卓端开发 | Android Applica" sheetId="4" r:id="rId8"/>
    <sheet name="报价表 - 4、苹果端开发 | iOS Application" sheetId="5" r:id="rId9"/>
    <sheet name="报价表 - 5、PC内容管理系统 | CMS" sheetId="6" r:id="rId10"/>
    <sheet name="报价表 - 6、费用总计 | Total expenses" sheetId="7" r:id="rId11"/>
    <sheet name="报价表 - 6、费用总计 | Total expenses-1" sheetId="8" r:id="rId12"/>
    <sheet name="报价表 - 绘图" sheetId="9" r:id="rId13"/>
    <sheet name="人天单价 - Table 1" sheetId="10" r:id="rId14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<sst xmlns="http://schemas.openxmlformats.org/spreadsheetml/2006/main" uniqueCount="109">
  <si>
    <t>此文稿由 Numbers 表格导出。所有表格均已转换为 Excel 工作表。每张 Numbers 工作表上的所有其他对象都已放置在单独的工作表中。请注意其中的公式计算可能与 Excel 不同。</t>
  </si>
  <si>
    <t>Numbers 工作表名称</t>
  </si>
  <si>
    <t>Numbers 表格名称</t>
  </si>
  <si>
    <t>Excel 工作表名称</t>
  </si>
  <si>
    <t>报价表</t>
  </si>
  <si>
    <t>1、 需求分析 | Demand analysis</t>
  </si>
  <si>
    <t>报价表 - 1、 需求分析 | Demand analysis</t>
  </si>
  <si>
    <t>序号</t>
  </si>
  <si>
    <t>功能 | Function</t>
  </si>
  <si>
    <t>子项 | Subitem</t>
  </si>
  <si>
    <t>描述 | Describe</t>
  </si>
  <si>
    <t>工时评估（日）</t>
  </si>
  <si>
    <t>费用评估（元）</t>
  </si>
  <si>
    <t>1</t>
  </si>
  <si>
    <t>需求分析</t>
  </si>
  <si>
    <t>|</t>
  </si>
  <si>
    <t>1. 沟通了解项目需求
2. 整理需求，设计功能逻辑结构
3. 构思设计方案，构思实现形式和可行性评估、评估开发周期</t>
  </si>
  <si>
    <t>费用小计  Subtotal</t>
  </si>
  <si>
    <t>2、界面 &amp; 交互设计 | UI &amp; UX Design</t>
  </si>
  <si>
    <t>报价表 - 2、界面 &amp; 交互设计 | UI &amp; UX Des</t>
  </si>
  <si>
    <t>Logo设计</t>
  </si>
  <si>
    <t>设计APP Logo（包含多个尺寸），由客户提供设计方向</t>
  </si>
  <si>
    <t>2</t>
  </si>
  <si>
    <t>原型设计</t>
  </si>
  <si>
    <r>
      <rPr>
        <sz val="10"/>
        <color indexed="14"/>
        <rFont val="Avenir Roman"/>
      </rPr>
      <t xml:space="preserve">根据需求设计所有前端的页面原型
</t>
    </r>
    <r>
      <rPr>
        <sz val="10"/>
        <color indexed="14"/>
        <rFont val="Avenir Roman"/>
      </rPr>
      <t>原型实现基本的页面跳转和交互</t>
    </r>
  </si>
  <si>
    <r>
      <rPr>
        <sz val="10"/>
        <color indexed="18"/>
        <rFont val="Avenir Next Demi Bold"/>
      </rPr>
      <t>3</t>
    </r>
  </si>
  <si>
    <t>UI / UE设计</t>
  </si>
  <si>
    <t>iOS</t>
  </si>
  <si>
    <t>1. 视觉风格设计
2. 视觉内页设计
3 .页面设计方案需同时兼容Apple手机iphone5以上机型，确保兼容iOS9.x以上系统版本</t>
  </si>
  <si>
    <t>Android</t>
  </si>
  <si>
    <t>1. 页面跟iOS的设计大部分一致，根据Android设备的规范及特性做特殊适配处理
2. 兼容市面上主流的安卓品牌机型和主流的安卓系统（由于安卓系统开源，自定义程度高，不确定性比较高）</t>
  </si>
  <si>
    <t>3、安卓端开发 | Android Application</t>
  </si>
  <si>
    <t>报价表 - 3、安卓端开发 | Android Applica</t>
  </si>
  <si>
    <t>基础功能</t>
  </si>
  <si>
    <t>框架搭建</t>
  </si>
  <si>
    <t>搭建项目的框架，包括代码的框架和UI的框架</t>
  </si>
  <si>
    <t>API</t>
  </si>
  <si>
    <t>通过网络获取后台服务器的数据，并将每一条API接口转换成数据对象</t>
  </si>
  <si>
    <t>用户登录</t>
  </si>
  <si>
    <t>通过填写手机号码和密码登录系统</t>
  </si>
  <si>
    <t>注册 | 忘记密码</t>
  </si>
  <si>
    <t>用户可以通过手机号码注册，也可以通过手机手机收短信验证码修改密码</t>
  </si>
  <si>
    <t>3</t>
  </si>
  <si>
    <t>订单管理</t>
  </si>
  <si>
    <t>订单列表</t>
  </si>
  <si>
    <t>订单分为4种状态，分别是待确认，待付款，待发货，已完成。订单列表分四个标签栏显示</t>
  </si>
  <si>
    <t>订单详情</t>
  </si>
  <si>
    <t>显示订单的详细信息，包含订单商品明细，订单金额，收货人信息，备注，订单编号，物流单号等信息。不同订单状态显示的详情信息略有不同</t>
  </si>
  <si>
    <t>4</t>
  </si>
  <si>
    <t>推送</t>
  </si>
  <si>
    <t>1. 整合极光推送的第三方推送服务
2. 接收服务端的推送消息，并相应显示在标题栏或实现提供及跳转的相关功能</t>
  </si>
  <si>
    <t>5</t>
  </si>
  <si>
    <t>测试联调</t>
  </si>
  <si>
    <t>项目测试</t>
  </si>
  <si>
    <t>单元测试，集成测试。测试不同设备，不同系统，不同分辨率的软件运行情况。</t>
  </si>
  <si>
    <t>项目调试</t>
  </si>
  <si>
    <t>适配不同的手机分辨率，迭代开发，修复测试人员找到的各种问题</t>
  </si>
  <si>
    <t>6</t>
  </si>
  <si>
    <t>上线支持</t>
  </si>
  <si>
    <t>发布与上线</t>
  </si>
  <si>
    <t>发布版本，协助App上线到 APPSTORE</t>
  </si>
  <si>
    <t>维护</t>
  </si>
  <si>
    <t>提供三个月的免费维护期，不包括优化和非合同需求bug</t>
  </si>
  <si>
    <t>4、苹果端开发 | iOS Application</t>
  </si>
  <si>
    <t>报价表 - 4、苹果端开发 | iOS Application</t>
  </si>
  <si>
    <t>发布版本，协助App上线到 应用宝</t>
  </si>
  <si>
    <t>5、PC内容管理系统 | CMS</t>
  </si>
  <si>
    <t>报价表 - 5、PC内容管理系统 | CMS</t>
  </si>
  <si>
    <t>API设计 &amp; 实现</t>
  </si>
  <si>
    <t>设计APP跟后台的API数据接口，并实现这些接口的业务逻辑及数据的获取提供给APP调用</t>
  </si>
  <si>
    <t>数据库设计</t>
  </si>
  <si>
    <t>设计数据库，并生成数据库的字典文档</t>
  </si>
  <si>
    <t>用户管理</t>
  </si>
  <si>
    <t>注册用户的增加，修改，删除，列表查看功能。</t>
  </si>
  <si>
    <t>用户下的所有订单，可以在这里进行查看。并可以对订单进行确认，修改，发货操作</t>
  </si>
  <si>
    <t>单元测试，集成测试。测试不同浏览器上运行后台的测试</t>
  </si>
  <si>
    <t>根据测试人员收集到问题，修复找到的各种问题</t>
  </si>
  <si>
    <t>发布</t>
  </si>
  <si>
    <t>将后台部署到客户阿里云的服务器上面</t>
  </si>
  <si>
    <t>6、费用总计 | Total expenses</t>
  </si>
  <si>
    <t>报价表 - 6、费用总计 | Total expenses</t>
  </si>
  <si>
    <r>
      <rPr>
        <sz val="14"/>
        <color indexed="21"/>
        <rFont val="Avenir Next Demi Bold"/>
      </rPr>
      <t xml:space="preserve">开发总计
</t>
    </r>
    <r>
      <rPr>
        <sz val="10"/>
        <color indexed="21"/>
        <rFont val="Avenir Next Demi Bold"/>
      </rPr>
      <t>Develop expenses</t>
    </r>
  </si>
  <si>
    <t>评估项</t>
  </si>
  <si>
    <t>安卓端</t>
  </si>
  <si>
    <t>iOS端</t>
  </si>
  <si>
    <t>PC后台</t>
  </si>
  <si>
    <t>所需人天（日）</t>
  </si>
  <si>
    <t>费用小计（元）</t>
  </si>
  <si>
    <t>总开发人天 | Total Manday</t>
  </si>
  <si>
    <t>费用总计 | Total expenses</t>
  </si>
  <si>
    <t>6、费用总计 | Total expenses-1</t>
  </si>
  <si>
    <t>报价表 - 6、费用总计 | Total expenses-1</t>
  </si>
  <si>
    <r>
      <rPr>
        <sz val="14"/>
        <color indexed="21"/>
        <rFont val="Avenir Next Demi Bold"/>
      </rPr>
      <t xml:space="preserve">售后服务
</t>
    </r>
    <r>
      <rPr>
        <sz val="10"/>
        <color indexed="21"/>
        <rFont val="Avenir Next Demi Bold"/>
      </rPr>
      <t>After-sale service</t>
    </r>
  </si>
  <si>
    <t>服务项 | Item</t>
  </si>
  <si>
    <r>
      <rPr>
        <sz val="10"/>
        <color indexed="16"/>
        <rFont val="Avenir Next Demi Bold"/>
      </rPr>
      <t>服务内容 | Service content</t>
    </r>
  </si>
  <si>
    <t>【日常维护】</t>
  </si>
  <si>
    <t xml:space="preserve">定时检查网站程序漏洞；设置安全防范程序，防范黑客入侵；定时备份资料；定时重启服务器；保证服务器日常运行。	</t>
  </si>
  <si>
    <t>【故障维护】</t>
  </si>
  <si>
    <t>当项目发生重大故障时（如服务器挂掉），上班与非上班时间，我司都会立即派人进行处理，争取最快速度修复故障。如果是普通故障，影响不大，上班时间会进行处理，通常半到一天内可以解决</t>
  </si>
  <si>
    <t>【BUG修复】</t>
  </si>
  <si>
    <t>只包括功能需求内的一些问题，不包括功能的优化，和新加的功能需求</t>
  </si>
  <si>
    <t>【咨询服务】</t>
  </si>
  <si>
    <t>在贵司运营期间遇到的关于该项目方面的问题，都可以向我司电话或网络咨询，我司提供专业人员解答贵司问题。</t>
  </si>
  <si>
    <t>PS：如果免费维护期过后，如贵司需要我司继续提供售后服务，需要另外收费。维护费用为：项目总报价的10% ~ 20%/每年</t>
  </si>
  <si>
    <t>“来自工作表的所有绘图”</t>
  </si>
  <si>
    <t>报价表 - 绘图</t>
  </si>
  <si>
    <t>人天单价</t>
  </si>
  <si>
    <t>Table 1</t>
  </si>
  <si>
    <t>人天单价 - Table 1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</si>
</sst>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#,##0.0"/>
  </numFmts>
  <fonts count="29">
    <font>
      <sz val="10"/>
      <color indexed="8"/>
      <name val="Avenir Next Regular"/>
    </font>
    <font>
      <sz val="12"/>
      <color indexed="8"/>
      <name val="Avenir Next Regular"/>
    </font>
    <font>
      <sz val="12"/>
      <color indexed="10"/>
      <name val="Avenir Next Regular"/>
    </font>
    <font>
      <sz val="14"/>
      <color indexed="10"/>
      <name val="Avenir Next Regular"/>
    </font>
    <font>
      <sz val="10"/>
      <color indexed="11"/>
      <name val="Superclarendon Light"/>
    </font>
    <font>
      <u val="single"/>
      <sz val="12"/>
      <color indexed="13"/>
      <name val="Avenir Next Regular"/>
    </font>
    <font>
      <sz val="10"/>
      <color indexed="14"/>
      <name val="Avenir Next Regular"/>
    </font>
    <font>
      <sz val="12"/>
      <color indexed="15"/>
      <name val="PingFang SC Semibold"/>
    </font>
    <font>
      <sz val="10"/>
      <color indexed="16"/>
      <name val="Avenir Next Demi Bold"/>
    </font>
    <font>
      <sz val="10"/>
      <color indexed="18"/>
      <name val="Avenir Next Demi Bold"/>
    </font>
    <font>
      <b val="1"/>
      <sz val="10"/>
      <color indexed="21"/>
      <name val="Avenir Next Regular"/>
    </font>
    <font>
      <b val="1"/>
      <sz val="10"/>
      <color indexed="14"/>
      <name val="Avenir Next Regular"/>
    </font>
    <font>
      <sz val="10"/>
      <color indexed="17"/>
      <name val="Avenir Next Demi Bold"/>
    </font>
    <font>
      <sz val="10"/>
      <color indexed="14"/>
      <name val="PingFang SC Medium"/>
    </font>
    <font>
      <sz val="10"/>
      <color indexed="14"/>
      <name val="Avenir Roman"/>
    </font>
    <font>
      <sz val="16"/>
      <color indexed="17"/>
      <name val="Avenir Next Demi Bold"/>
    </font>
    <font>
      <sz val="14"/>
      <color indexed="21"/>
      <name val="Avenir Next Demi Bold"/>
    </font>
    <font>
      <sz val="10"/>
      <color indexed="21"/>
      <name val="Avenir Next Demi Bold"/>
    </font>
    <font>
      <b val="1"/>
      <i val="1"/>
      <sz val="10"/>
      <color indexed="14"/>
      <name val="Avenir Next Regular"/>
    </font>
    <font>
      <sz val="10"/>
      <color indexed="21"/>
      <name val="Avenir Next Heavy"/>
    </font>
    <font>
      <sz val="10"/>
      <color indexed="14"/>
      <name val="Avenir Next Heavy"/>
    </font>
    <font>
      <sz val="10"/>
      <color indexed="17"/>
      <name val="Avenir Next Heavy"/>
    </font>
    <font>
      <sz val="10"/>
      <color indexed="29"/>
      <name val="Avenir Next Medium"/>
    </font>
    <font>
      <sz val="20"/>
      <color indexed="17"/>
      <name val="Yuanti SC Regular"/>
    </font>
    <font>
      <sz val="12"/>
      <color indexed="16"/>
      <name val="PingFang SC Semibold"/>
    </font>
    <font>
      <sz val="12"/>
      <color indexed="17"/>
      <name val="PingFang SC Semibold"/>
    </font>
    <font>
      <b val="1"/>
      <sz val="12"/>
      <color indexed="15"/>
      <name val="Superclarendon Regular"/>
    </font>
    <font>
      <b val="1"/>
      <sz val="14"/>
      <color indexed="10"/>
      <name val="Superclarendon Regular"/>
    </font>
    <font>
      <sz val="20"/>
      <color indexed="17"/>
      <name val="Avenir Next Regular"/>
    </font>
  </fonts>
  <fills count="1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24"/>
        <bgColor auto="1"/>
      </patternFill>
    </fill>
    <fill>
      <patternFill patternType="solid">
        <fgColor indexed="25"/>
        <bgColor auto="1"/>
      </patternFill>
    </fill>
    <fill>
      <patternFill patternType="solid">
        <fgColor indexed="26"/>
        <bgColor auto="1"/>
      </patternFill>
    </fill>
    <fill>
      <patternFill patternType="solid">
        <fgColor indexed="27"/>
        <bgColor auto="1"/>
      </patternFill>
    </fill>
    <fill>
      <patternFill patternType="solid">
        <fgColor indexed="28"/>
        <bgColor auto="1"/>
      </patternFill>
    </fill>
    <fill>
      <patternFill patternType="solid">
        <fgColor indexed="29"/>
        <bgColor auto="1"/>
      </patternFill>
    </fill>
    <fill>
      <patternFill patternType="solid">
        <fgColor indexed="30"/>
        <bgColor auto="1"/>
      </patternFill>
    </fill>
    <fill>
      <patternFill patternType="solid">
        <fgColor indexed="10"/>
        <bgColor auto="1"/>
      </patternFill>
    </fill>
  </fills>
  <borders count="33">
    <border>
      <left/>
      <right/>
      <top/>
      <bottom/>
      <diagonal/>
    </border>
    <border>
      <left style="thin">
        <color indexed="16"/>
      </left>
      <right style="thin">
        <color indexed="17"/>
      </right>
      <top style="thin">
        <color indexed="16"/>
      </top>
      <bottom style="thin">
        <color indexed="18"/>
      </bottom>
      <diagonal/>
    </border>
    <border>
      <left style="thin">
        <color indexed="17"/>
      </left>
      <right style="thin">
        <color indexed="17"/>
      </right>
      <top style="thin">
        <color indexed="16"/>
      </top>
      <bottom style="thin">
        <color indexed="18"/>
      </bottom>
      <diagonal/>
    </border>
    <border>
      <left style="thin">
        <color indexed="17"/>
      </left>
      <right style="thin">
        <color indexed="16"/>
      </right>
      <top style="thin">
        <color indexed="16"/>
      </top>
      <bottom style="thin">
        <color indexed="18"/>
      </bottom>
      <diagonal/>
    </border>
    <border>
      <left style="thin">
        <color indexed="18"/>
      </left>
      <right style="thin">
        <color indexed="20"/>
      </right>
      <top style="thin">
        <color indexed="18"/>
      </top>
      <bottom style="thin">
        <color indexed="20"/>
      </bottom>
      <diagonal/>
    </border>
    <border>
      <left style="thin">
        <color indexed="20"/>
      </left>
      <right style="thin">
        <color indexed="20"/>
      </right>
      <top style="thin">
        <color indexed="18"/>
      </top>
      <bottom style="thin">
        <color indexed="20"/>
      </bottom>
      <diagonal/>
    </border>
    <border>
      <left style="thin">
        <color indexed="20"/>
      </left>
      <right style="thin">
        <color indexed="18"/>
      </right>
      <top style="thin">
        <color indexed="18"/>
      </top>
      <bottom style="thin">
        <color indexed="20"/>
      </bottom>
      <diagonal/>
    </border>
    <border>
      <left style="thin">
        <color indexed="18"/>
      </left>
      <right/>
      <top style="thin">
        <color indexed="20"/>
      </top>
      <bottom style="thin">
        <color indexed="18"/>
      </bottom>
      <diagonal/>
    </border>
    <border>
      <left/>
      <right/>
      <top style="thin">
        <color indexed="20"/>
      </top>
      <bottom style="thin">
        <color indexed="18"/>
      </bottom>
      <diagonal/>
    </border>
    <border>
      <left/>
      <right style="thin">
        <color indexed="18"/>
      </right>
      <top style="thin">
        <color indexed="20"/>
      </top>
      <bottom style="thin">
        <color indexed="18"/>
      </bottom>
      <diagonal/>
    </border>
    <border>
      <left style="thin">
        <color indexed="18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20"/>
      </left>
      <right style="thin">
        <color indexed="18"/>
      </right>
      <top style="thin">
        <color indexed="20"/>
      </top>
      <bottom style="thin">
        <color indexed="20"/>
      </bottom>
      <diagonal/>
    </border>
    <border>
      <left style="thin">
        <color indexed="18"/>
      </left>
      <right style="thin">
        <color indexed="20"/>
      </right>
      <top style="thin">
        <color indexed="20"/>
      </top>
      <bottom style="thin">
        <color indexed="18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18"/>
      </bottom>
      <diagonal/>
    </border>
    <border>
      <left style="thin">
        <color indexed="20"/>
      </left>
      <right style="thin">
        <color indexed="18"/>
      </right>
      <top style="thin">
        <color indexed="20"/>
      </top>
      <bottom style="thin">
        <color indexed="18"/>
      </bottom>
      <diagonal/>
    </border>
    <border>
      <left style="thin">
        <color indexed="18"/>
      </left>
      <right/>
      <top style="thin">
        <color indexed="18"/>
      </top>
      <bottom style="thin">
        <color indexed="18"/>
      </bottom>
      <diagonal/>
    </border>
    <border>
      <left/>
      <right/>
      <top style="thin">
        <color indexed="18"/>
      </top>
      <bottom style="thin">
        <color indexed="18"/>
      </bottom>
      <diagonal/>
    </border>
    <border>
      <left/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17"/>
      </left>
      <right style="thin">
        <color indexed="17"/>
      </right>
      <top style="thin">
        <color indexed="16"/>
      </top>
      <bottom style="thin">
        <color indexed="16"/>
      </bottom>
      <diagonal/>
    </border>
    <border>
      <left style="thin">
        <color indexed="17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18"/>
      </left>
      <right/>
      <top style="thin">
        <color indexed="16"/>
      </top>
      <bottom style="thin">
        <color indexed="16"/>
      </bottom>
      <diagonal/>
    </border>
    <border>
      <left/>
      <right/>
      <top style="thin">
        <color indexed="16"/>
      </top>
      <bottom style="thin">
        <color indexed="16"/>
      </bottom>
      <diagonal/>
    </border>
    <border>
      <left/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20"/>
      </bottom>
      <diagonal/>
    </border>
    <border>
      <left style="thin">
        <color indexed="18"/>
      </left>
      <right style="thin">
        <color indexed="20"/>
      </right>
      <top style="thin">
        <color indexed="16"/>
      </top>
      <bottom style="thin">
        <color indexed="20"/>
      </bottom>
      <diagonal/>
    </border>
    <border>
      <left style="thin">
        <color indexed="20"/>
      </left>
      <right style="thin">
        <color indexed="20"/>
      </right>
      <top style="thin">
        <color indexed="16"/>
      </top>
      <bottom style="thin">
        <color indexed="20"/>
      </bottom>
      <diagonal/>
    </border>
    <border>
      <left style="thin">
        <color indexed="20"/>
      </left>
      <right style="thin">
        <color indexed="18"/>
      </right>
      <top style="thin">
        <color indexed="16"/>
      </top>
      <bottom style="thin">
        <color indexed="20"/>
      </bottom>
      <diagonal/>
    </border>
    <border>
      <left style="thin">
        <color indexed="18"/>
      </left>
      <right style="thin">
        <color indexed="18"/>
      </right>
      <top style="thin">
        <color indexed="20"/>
      </top>
      <bottom style="thin">
        <color indexed="20"/>
      </bottom>
      <diagonal/>
    </border>
    <border>
      <left/>
      <right style="thin">
        <color indexed="16"/>
      </right>
      <top style="thin">
        <color indexed="20"/>
      </top>
      <bottom style="thin">
        <color indexed="18"/>
      </bottom>
      <diagonal/>
    </border>
    <border>
      <left/>
      <right/>
      <top/>
      <bottom>
        <color indexed="10"/>
      </bottom>
      <diagonal/>
    </border>
    <border>
      <left/>
      <right/>
      <top>
        <color indexed="10"/>
      </top>
      <bottom/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90">
    <xf numFmtId="0" fontId="0" applyNumberFormat="0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left" vertical="top" wrapText="1"/>
    </xf>
    <xf numFmtId="0" fontId="3" applyNumberFormat="0" applyFont="1" applyFill="0" applyBorder="0" applyAlignment="1" applyProtection="0">
      <alignment horizontal="left" vertical="top" wrapText="1"/>
    </xf>
    <xf numFmtId="0" fontId="2" fillId="2" applyNumberFormat="0" applyFont="1" applyFill="1" applyBorder="0" applyAlignment="1" applyProtection="0">
      <alignment horizontal="left" vertical="top" wrapText="1"/>
    </xf>
    <xf numFmtId="0" fontId="2" fillId="3" applyNumberFormat="0" applyFont="1" applyFill="1" applyBorder="0" applyAlignment="1" applyProtection="0">
      <alignment horizontal="left" vertical="top" wrapText="1"/>
    </xf>
    <xf numFmtId="0" fontId="5" fillId="3" applyNumberFormat="0" applyFont="1" applyFill="1" applyBorder="0" applyAlignment="1" applyProtection="0">
      <alignment horizontal="left" vertical="top" wrapText="1"/>
    </xf>
    <xf numFmtId="0" fontId="6" applyNumberFormat="1" applyFont="1" applyFill="0" applyBorder="0" applyAlignment="1" applyProtection="0">
      <alignment horizontal="center" vertical="center" wrapText="1"/>
    </xf>
    <xf numFmtId="0" fontId="7" applyNumberFormat="0" applyFont="1" applyFill="0" applyBorder="0" applyAlignment="1" applyProtection="0">
      <alignment horizontal="left" vertical="center"/>
    </xf>
    <xf numFmtId="49" fontId="8" borderId="1" applyNumberFormat="1" applyFont="1" applyFill="0" applyBorder="1" applyAlignment="1" applyProtection="0">
      <alignment horizontal="center" vertical="center" wrapText="1"/>
    </xf>
    <xf numFmtId="49" fontId="8" borderId="2" applyNumberFormat="1" applyFont="1" applyFill="0" applyBorder="1" applyAlignment="1" applyProtection="0">
      <alignment horizontal="center" vertical="center" wrapText="1"/>
    </xf>
    <xf numFmtId="49" fontId="8" borderId="3" applyNumberFormat="1" applyFont="1" applyFill="0" applyBorder="1" applyAlignment="1" applyProtection="0">
      <alignment horizontal="center" vertical="center" wrapText="1"/>
    </xf>
    <xf numFmtId="49" fontId="9" fillId="4" borderId="4" applyNumberFormat="1" applyFont="1" applyFill="1" applyBorder="1" applyAlignment="1" applyProtection="0">
      <alignment horizontal="center" vertical="center" wrapText="1"/>
    </xf>
    <xf numFmtId="49" fontId="10" fillId="5" borderId="5" applyNumberFormat="1" applyFont="1" applyFill="1" applyBorder="1" applyAlignment="1" applyProtection="0">
      <alignment horizontal="center" vertical="center" wrapText="1"/>
    </xf>
    <xf numFmtId="49" fontId="6" fillId="5" borderId="5" applyNumberFormat="1" applyFont="1" applyFill="1" applyBorder="1" applyAlignment="1" applyProtection="0">
      <alignment horizontal="center" vertical="center" wrapText="1"/>
    </xf>
    <xf numFmtId="49" fontId="6" fillId="5" borderId="5" applyNumberFormat="1" applyFont="1" applyFill="1" applyBorder="1" applyAlignment="1" applyProtection="0">
      <alignment horizontal="left" vertical="center" wrapText="1"/>
    </xf>
    <xf numFmtId="3" fontId="11" fillId="5" borderId="5" applyNumberFormat="1" applyFont="1" applyFill="1" applyBorder="1" applyAlignment="1" applyProtection="0">
      <alignment horizontal="center" vertical="center" wrapText="1"/>
    </xf>
    <xf numFmtId="3" fontId="11" fillId="5" borderId="6" applyNumberFormat="1" applyFont="1" applyFill="1" applyBorder="1" applyAlignment="1" applyProtection="0">
      <alignment horizontal="center" vertical="center" wrapText="1"/>
    </xf>
    <xf numFmtId="49" fontId="12" fillId="6" borderId="7" applyNumberFormat="1" applyFont="1" applyFill="1" applyBorder="1" applyAlignment="1" applyProtection="0">
      <alignment horizontal="center" vertical="center" wrapText="1"/>
    </xf>
    <xf numFmtId="0" fontId="12" fillId="7" borderId="8" applyNumberFormat="0" applyFont="1" applyFill="1" applyBorder="1" applyAlignment="1" applyProtection="0">
      <alignment horizontal="center" vertical="center" wrapText="1"/>
    </xf>
    <xf numFmtId="0" fontId="12" fillId="6" borderId="8" applyNumberFormat="0" applyFont="1" applyFill="1" applyBorder="1" applyAlignment="1" applyProtection="0">
      <alignment horizontal="center" vertical="center" wrapText="1"/>
    </xf>
    <xf numFmtId="59" fontId="12" fillId="6" borderId="8" applyNumberFormat="1" applyFont="1" applyFill="1" applyBorder="1" applyAlignment="1" applyProtection="0">
      <alignment horizontal="center" vertical="center" wrapText="1"/>
    </xf>
    <xf numFmtId="3" fontId="12" fillId="6" borderId="9" applyNumberFormat="1" applyFont="1" applyFill="1" applyBorder="1" applyAlignment="1" applyProtection="0">
      <alignment horizontal="center" vertical="center" wrapText="1"/>
    </xf>
    <xf numFmtId="0" fontId="6" applyNumberFormat="1" applyFont="1" applyFill="0" applyBorder="0" applyAlignment="1" applyProtection="0">
      <alignment horizontal="center" vertical="center" wrapText="1"/>
    </xf>
    <xf numFmtId="49" fontId="13" fillId="5" borderId="5" applyNumberFormat="1" applyFont="1" applyFill="1" applyBorder="1" applyAlignment="1" applyProtection="0">
      <alignment horizontal="center" vertical="center" wrapText="1"/>
    </xf>
    <xf numFmtId="49" fontId="14" fillId="5" borderId="5" applyNumberFormat="1" applyFont="1" applyFill="1" applyBorder="1" applyAlignment="1" applyProtection="0">
      <alignment horizontal="left" vertical="center" wrapText="1"/>
    </xf>
    <xf numFmtId="0" fontId="11" fillId="5" borderId="5" applyNumberFormat="1" applyFont="1" applyFill="1" applyBorder="1" applyAlignment="1" applyProtection="0">
      <alignment horizontal="center" vertical="center" wrapText="1"/>
    </xf>
    <xf numFmtId="49" fontId="9" fillId="4" borderId="10" applyNumberFormat="1" applyFont="1" applyFill="1" applyBorder="1" applyAlignment="1" applyProtection="0">
      <alignment horizontal="center" vertical="center" wrapText="1"/>
    </xf>
    <xf numFmtId="49" fontId="10" fillId="8" borderId="11" applyNumberFormat="1" applyFont="1" applyFill="1" applyBorder="1" applyAlignment="1" applyProtection="0">
      <alignment horizontal="center" vertical="center" wrapText="1"/>
    </xf>
    <xf numFmtId="49" fontId="13" fillId="8" borderId="11" applyNumberFormat="1" applyFont="1" applyFill="1" applyBorder="1" applyAlignment="1" applyProtection="0">
      <alignment horizontal="center" vertical="center" wrapText="1"/>
    </xf>
    <xf numFmtId="49" fontId="14" fillId="8" borderId="11" applyNumberFormat="1" applyFont="1" applyFill="1" applyBorder="1" applyAlignment="1" applyProtection="0">
      <alignment horizontal="left" vertical="center" wrapText="1"/>
    </xf>
    <xf numFmtId="0" fontId="11" fillId="8" borderId="11" applyNumberFormat="1" applyFont="1" applyFill="1" applyBorder="1" applyAlignment="1" applyProtection="0">
      <alignment horizontal="center" vertical="center" wrapText="1"/>
    </xf>
    <xf numFmtId="3" fontId="11" fillId="8" borderId="12" applyNumberFormat="1" applyFont="1" applyFill="1" applyBorder="1" applyAlignment="1" applyProtection="0">
      <alignment horizontal="center" vertical="center" wrapText="1"/>
    </xf>
    <xf numFmtId="49" fontId="10" fillId="5" borderId="11" applyNumberFormat="1" applyFont="1" applyFill="1" applyBorder="1" applyAlignment="1" applyProtection="0">
      <alignment horizontal="center" vertical="center" wrapText="1"/>
    </xf>
    <xf numFmtId="49" fontId="13" fillId="5" borderId="11" applyNumberFormat="1" applyFont="1" applyFill="1" applyBorder="1" applyAlignment="1" applyProtection="0">
      <alignment horizontal="center" vertical="center" wrapText="1"/>
    </xf>
    <xf numFmtId="49" fontId="14" fillId="5" borderId="11" applyNumberFormat="1" applyFont="1" applyFill="1" applyBorder="1" applyAlignment="1" applyProtection="0">
      <alignment horizontal="left" vertical="center" wrapText="1"/>
    </xf>
    <xf numFmtId="0" fontId="11" fillId="5" borderId="11" applyNumberFormat="1" applyFont="1" applyFill="1" applyBorder="1" applyAlignment="1" applyProtection="0">
      <alignment horizontal="center" vertical="center" wrapText="1"/>
    </xf>
    <xf numFmtId="3" fontId="11" fillId="5" borderId="12" applyNumberFormat="1" applyFont="1" applyFill="1" applyBorder="1" applyAlignment="1" applyProtection="0">
      <alignment horizontal="center" vertical="center" wrapText="1"/>
    </xf>
    <xf numFmtId="0" fontId="12" fillId="9" borderId="13" applyNumberFormat="0" applyFont="1" applyFill="1" applyBorder="1" applyAlignment="1" applyProtection="0">
      <alignment horizontal="left" vertical="center" wrapText="1"/>
    </xf>
    <xf numFmtId="0" fontId="6" fillId="8" borderId="14" applyNumberFormat="0" applyFont="1" applyFill="1" applyBorder="1" applyAlignment="1" applyProtection="0">
      <alignment horizontal="center" vertical="center" wrapText="1"/>
    </xf>
    <xf numFmtId="49" fontId="13" fillId="8" borderId="14" applyNumberFormat="1" applyFont="1" applyFill="1" applyBorder="1" applyAlignment="1" applyProtection="0">
      <alignment horizontal="center" vertical="center" wrapText="1"/>
    </xf>
    <xf numFmtId="0" fontId="11" fillId="8" borderId="14" applyNumberFormat="1" applyFont="1" applyFill="1" applyBorder="1" applyAlignment="1" applyProtection="0">
      <alignment horizontal="center" vertical="center" wrapText="1"/>
    </xf>
    <xf numFmtId="3" fontId="11" fillId="8" borderId="15" applyNumberFormat="1" applyFont="1" applyFill="1" applyBorder="1" applyAlignment="1" applyProtection="0">
      <alignment horizontal="center" vertical="center" wrapText="1"/>
    </xf>
    <xf numFmtId="49" fontId="12" fillId="6" borderId="16" applyNumberFormat="1" applyFont="1" applyFill="1" applyBorder="1" applyAlignment="1" applyProtection="0">
      <alignment horizontal="center" vertical="center" wrapText="1"/>
    </xf>
    <xf numFmtId="0" fontId="12" fillId="7" borderId="17" applyNumberFormat="0" applyFont="1" applyFill="1" applyBorder="1" applyAlignment="1" applyProtection="0">
      <alignment horizontal="center" vertical="center" wrapText="1"/>
    </xf>
    <xf numFmtId="59" fontId="12" fillId="6" borderId="17" applyNumberFormat="1" applyFont="1" applyFill="1" applyBorder="1" applyAlignment="1" applyProtection="0">
      <alignment horizontal="center" vertical="center" wrapText="1"/>
    </xf>
    <xf numFmtId="3" fontId="12" fillId="6" borderId="18" applyNumberFormat="1" applyFont="1" applyFill="1" applyBorder="1" applyAlignment="1" applyProtection="0">
      <alignment horizontal="center" vertical="center" wrapText="1"/>
    </xf>
    <xf numFmtId="0" fontId="6" applyNumberFormat="1" applyFont="1" applyFill="0" applyBorder="0" applyAlignment="1" applyProtection="0">
      <alignment horizontal="center" vertical="center" wrapText="1"/>
    </xf>
    <xf numFmtId="0" fontId="10" fillId="8" borderId="11" applyNumberFormat="0" applyFont="1" applyFill="1" applyBorder="1" applyAlignment="1" applyProtection="0">
      <alignment horizontal="center" vertical="center" wrapText="1"/>
    </xf>
    <xf numFmtId="0" fontId="12" fillId="9" borderId="10" applyNumberFormat="0" applyFont="1" applyFill="1" applyBorder="1" applyAlignment="1" applyProtection="0">
      <alignment horizontal="left" vertical="center" wrapText="1"/>
    </xf>
    <xf numFmtId="0" fontId="6" fillId="8" borderId="11" applyNumberFormat="0" applyFont="1" applyFill="1" applyBorder="1" applyAlignment="1" applyProtection="0">
      <alignment horizontal="center" vertical="center" wrapText="1"/>
    </xf>
    <xf numFmtId="0" fontId="10" fillId="5" borderId="11" applyNumberFormat="0" applyFont="1" applyFill="1" applyBorder="1" applyAlignment="1" applyProtection="0">
      <alignment horizontal="center" vertical="center" wrapText="1"/>
    </xf>
    <xf numFmtId="0" fontId="6" applyNumberFormat="1" applyFont="1" applyFill="0" applyBorder="0" applyAlignment="1" applyProtection="0">
      <alignment horizontal="center" vertical="center" wrapText="1"/>
    </xf>
    <xf numFmtId="0" fontId="6" applyNumberFormat="1" applyFont="1" applyFill="0" applyBorder="0" applyAlignment="1" applyProtection="0">
      <alignment horizontal="center" vertical="center" wrapText="1"/>
    </xf>
    <xf numFmtId="49" fontId="11" fillId="8" borderId="11" applyNumberFormat="1" applyFont="1" applyFill="1" applyBorder="1" applyAlignment="1" applyProtection="0">
      <alignment horizontal="center" vertical="center" wrapText="1"/>
    </xf>
    <xf numFmtId="0" fontId="6" applyNumberFormat="1" applyFont="1" applyFill="0" applyBorder="0" applyAlignment="1" applyProtection="0">
      <alignment horizontal="center" vertical="center" wrapText="1"/>
    </xf>
    <xf numFmtId="49" fontId="15" fillId="5" borderId="1" applyNumberFormat="1" applyFont="1" applyFill="1" applyBorder="1" applyAlignment="1" applyProtection="0">
      <alignment horizontal="center" vertical="center" wrapText="1"/>
    </xf>
    <xf numFmtId="0" fontId="12" fillId="10" borderId="19" applyNumberFormat="0" applyFont="1" applyFill="1" applyBorder="1" applyAlignment="1" applyProtection="0">
      <alignment horizontal="center" vertical="center" wrapText="1"/>
    </xf>
    <xf numFmtId="0" fontId="12" fillId="10" borderId="20" applyNumberFormat="0" applyFont="1" applyFill="1" applyBorder="1" applyAlignment="1" applyProtection="0">
      <alignment horizontal="center" vertical="center" wrapText="1"/>
    </xf>
    <xf numFmtId="49" fontId="8" fillId="11" borderId="21" applyNumberFormat="1" applyFont="1" applyFill="1" applyBorder="1" applyAlignment="1" applyProtection="0">
      <alignment horizontal="center" vertical="center" wrapText="1"/>
    </xf>
    <xf numFmtId="49" fontId="8" fillId="12" borderId="22" applyNumberFormat="1" applyFont="1" applyFill="1" applyBorder="1" applyAlignment="1" applyProtection="0">
      <alignment horizontal="center" vertical="center" wrapText="1"/>
    </xf>
    <xf numFmtId="49" fontId="8" fillId="12" borderId="23" applyNumberFormat="1" applyFont="1" applyFill="1" applyBorder="1" applyAlignment="1" applyProtection="0">
      <alignment horizontal="center" vertical="center" wrapText="1"/>
    </xf>
    <xf numFmtId="49" fontId="8" fillId="12" borderId="24" applyNumberFormat="1" applyFont="1" applyFill="1" applyBorder="1" applyAlignment="1" applyProtection="0">
      <alignment horizontal="center" vertical="center" wrapText="1"/>
    </xf>
    <xf numFmtId="49" fontId="9" fillId="11" borderId="25" applyNumberFormat="1" applyFont="1" applyFill="1" applyBorder="1" applyAlignment="1" applyProtection="0">
      <alignment horizontal="center" vertical="center" wrapText="1"/>
    </xf>
    <xf numFmtId="3" fontId="18" fillId="5" borderId="26" applyNumberFormat="1" applyFont="1" applyFill="1" applyBorder="1" applyAlignment="1" applyProtection="0">
      <alignment horizontal="center" vertical="center" wrapText="1"/>
    </xf>
    <xf numFmtId="3" fontId="18" fillId="5" borderId="27" applyNumberFormat="1" applyFont="1" applyFill="1" applyBorder="1" applyAlignment="1" applyProtection="0">
      <alignment horizontal="center" vertical="center" wrapText="1"/>
    </xf>
    <xf numFmtId="0" fontId="18" fillId="5" borderId="27" applyNumberFormat="1" applyFont="1" applyFill="1" applyBorder="1" applyAlignment="1" applyProtection="0">
      <alignment horizontal="center" vertical="center" wrapText="1"/>
    </xf>
    <xf numFmtId="0" fontId="18" fillId="5" borderId="28" applyNumberFormat="1" applyFont="1" applyFill="1" applyBorder="1" applyAlignment="1" applyProtection="0">
      <alignment horizontal="center" vertical="center" wrapText="1"/>
    </xf>
    <xf numFmtId="49" fontId="9" fillId="11" borderId="29" applyNumberFormat="1" applyFont="1" applyFill="1" applyBorder="1" applyAlignment="1" applyProtection="0">
      <alignment horizontal="center" vertical="center" wrapText="1"/>
    </xf>
    <xf numFmtId="3" fontId="19" fillId="5" borderId="10" applyNumberFormat="1" applyFont="1" applyFill="1" applyBorder="1" applyAlignment="1" applyProtection="0">
      <alignment horizontal="center" vertical="center" wrapText="1"/>
    </xf>
    <xf numFmtId="3" fontId="20" fillId="5" borderId="11" applyNumberFormat="1" applyFont="1" applyFill="1" applyBorder="1" applyAlignment="1" applyProtection="0">
      <alignment horizontal="center" vertical="center" wrapText="1"/>
    </xf>
    <xf numFmtId="3" fontId="20" fillId="5" borderId="12" applyNumberFormat="1" applyFont="1" applyFill="1" applyBorder="1" applyAlignment="1" applyProtection="0">
      <alignment horizontal="center" vertical="center" wrapText="1"/>
    </xf>
    <xf numFmtId="0" fontId="12" fillId="13" borderId="9" applyNumberFormat="1" applyFont="1" applyFill="1" applyBorder="1" applyAlignment="1" applyProtection="0">
      <alignment horizontal="center" vertical="center" wrapText="1"/>
    </xf>
    <xf numFmtId="59" fontId="21" fillId="6" borderId="30" applyNumberFormat="1" applyFont="1" applyFill="1" applyBorder="1" applyAlignment="1" applyProtection="0">
      <alignment horizontal="center" vertical="center" wrapText="1"/>
    </xf>
    <xf numFmtId="0" fontId="6" applyNumberFormat="1" applyFont="1" applyFill="0" applyBorder="0" applyAlignment="1" applyProtection="0">
      <alignment horizontal="center" vertical="center" wrapText="1"/>
    </xf>
    <xf numFmtId="49" fontId="8" fillId="14" borderId="21" applyNumberFormat="1" applyFont="1" applyFill="1" applyBorder="1" applyAlignment="1" applyProtection="0">
      <alignment horizontal="center" vertical="center" wrapText="1"/>
    </xf>
    <xf numFmtId="0" fontId="6" fillId="5" borderId="23" applyNumberFormat="0" applyFont="1" applyFill="1" applyBorder="1" applyAlignment="1" applyProtection="0">
      <alignment horizontal="center" vertical="center" wrapText="1"/>
    </xf>
    <xf numFmtId="0" fontId="6" fillId="5" borderId="24" applyNumberFormat="0" applyFont="1" applyFill="1" applyBorder="1" applyAlignment="1" applyProtection="0">
      <alignment horizontal="center" vertical="center" wrapText="1"/>
    </xf>
    <xf numFmtId="49" fontId="22" fillId="5" borderId="26" applyNumberFormat="1" applyFont="1" applyFill="1" applyBorder="1" applyAlignment="1" applyProtection="0">
      <alignment horizontal="left" vertical="center" wrapText="1"/>
    </xf>
    <xf numFmtId="0" fontId="6" fillId="5" borderId="27" applyNumberFormat="0" applyFont="1" applyFill="1" applyBorder="1" applyAlignment="1" applyProtection="0">
      <alignment horizontal="center" vertical="center" wrapText="1"/>
    </xf>
    <xf numFmtId="0" fontId="6" fillId="5" borderId="28" applyNumberFormat="0" applyFont="1" applyFill="1" applyBorder="1" applyAlignment="1" applyProtection="0">
      <alignment horizontal="center" vertical="center" wrapText="1"/>
    </xf>
    <xf numFmtId="49" fontId="22" fillId="5" borderId="10" applyNumberFormat="1" applyFont="1" applyFill="1" applyBorder="1" applyAlignment="1" applyProtection="0">
      <alignment horizontal="left" vertical="center" wrapText="1"/>
    </xf>
    <xf numFmtId="0" fontId="6" fillId="5" borderId="11" applyNumberFormat="0" applyFont="1" applyFill="1" applyBorder="1" applyAlignment="1" applyProtection="0">
      <alignment horizontal="center" vertical="center" wrapText="1"/>
    </xf>
    <xf numFmtId="0" fontId="6" fillId="5" borderId="12" applyNumberFormat="0" applyFont="1" applyFill="1" applyBorder="1" applyAlignment="1" applyProtection="0">
      <alignment horizontal="center" vertical="center" wrapText="1"/>
    </xf>
    <xf numFmtId="49" fontId="22" fillId="5" borderId="10" applyNumberFormat="1" applyFont="1" applyFill="1" applyBorder="1" applyAlignment="1" applyProtection="0">
      <alignment horizontal="left" vertical="center" wrapText="1" readingOrder="1"/>
    </xf>
    <xf numFmtId="0" fontId="12" fillId="7" borderId="9" applyNumberFormat="0" applyFont="1" applyFill="1" applyBorder="1" applyAlignment="1" applyProtection="0">
      <alignment horizontal="center" vertical="center" wrapText="1"/>
    </xf>
    <xf numFmtId="0" fontId="12" fillId="7" borderId="7" applyNumberFormat="0" applyFont="1" applyFill="1" applyBorder="1" applyAlignment="1" applyProtection="0">
      <alignment horizontal="center" vertical="center" wrapText="1"/>
    </xf>
    <xf numFmtId="0" fontId="12" fillId="7" borderId="30" applyNumberFormat="0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top" wrapText="1"/>
    </xf>
    <xf numFmtId="49" fontId="27" fillId="5" borderId="31" applyNumberFormat="1" applyFont="1" applyFill="1" applyBorder="1" applyAlignment="1" applyProtection="0">
      <alignment horizontal="center" vertical="center" wrapText="1"/>
    </xf>
    <xf numFmtId="0" fontId="28" fillId="15" borderId="32" applyNumberFormat="1" applyFont="1" applyFill="1" applyBorder="1" applyAlignment="1" applyProtection="0">
      <alignment horizontal="center" vertical="center" wrapText="1"/>
    </xf>
  </cellXfs>
  <cellStyles count="1">
    <cellStyle name="Normal" xfId="0" builtinId="0"/>
  </cellStyles>
  <dxfs count="7">
    <dxf>
      <font>
        <color rgb="ffd23600"/>
      </font>
    </dxf>
    <dxf>
      <font>
        <color rgb="ffd23600"/>
      </font>
    </dxf>
    <dxf>
      <font>
        <color rgb="ffd23600"/>
      </font>
    </dxf>
    <dxf>
      <font>
        <color rgb="ffd23600"/>
      </font>
    </dxf>
    <dxf>
      <font>
        <color rgb="ffd23600"/>
      </font>
    </dxf>
    <dxf>
      <font>
        <color rgb="ffd23600"/>
      </font>
    </dxf>
    <dxf>
      <font>
        <color rgb="ffd236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375719"/>
      <rgbColor rgb="ff5e88b1"/>
      <rgbColor rgb="ff000000"/>
      <rgbColor rgb="ff191919"/>
      <rgbColor rgb="ffeef3f4"/>
      <rgbColor rgb="ff0000ff"/>
      <rgbColor rgb="ff5f5f5f"/>
      <rgbColor rgb="ff444343"/>
      <rgbColor rgb="ff424242"/>
      <rgbColor rgb="fffeffff"/>
      <rgbColor rgb="ff414242"/>
      <rgbColor rgb="ffd5d5d5"/>
      <rgbColor rgb="ffa0a0a0"/>
      <rgbColor rgb="ff434142"/>
      <rgbColor rgb="ffd23600"/>
      <rgbColor rgb="ff407f72"/>
      <rgbColor rgb="ffeeeeee"/>
      <rgbColor rgb="ff4f9d8c"/>
      <rgbColor rgb="ff8cb9b0"/>
      <rgbColor rgb="ffd6d4d6"/>
      <rgbColor rgb="ffeeefee"/>
      <rgbColor rgb="ff434241"/>
      <rgbColor rgb="ffeeefe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/Relationships>
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527058</xdr:colOff>
      <xdr:row>0</xdr:row>
      <xdr:rowOff>0</xdr:rowOff>
    </xdr:from>
    <xdr:to>
      <xdr:col>12</xdr:col>
      <xdr:colOff>527058</xdr:colOff>
      <xdr:row>6</xdr:row>
      <xdr:rowOff>90924</xdr:rowOff>
    </xdr:to>
    <xdr:sp>
      <xdr:nvSpPr>
        <xdr:cNvPr id="2" name="矩形"/>
        <xdr:cNvSpPr/>
      </xdr:nvSpPr>
      <xdr:spPr>
        <a:xfrm>
          <a:off x="527058" y="-5365"/>
          <a:ext cx="9144001" cy="1081525"/>
        </a:xfrm>
        <a:prstGeom prst="rect">
          <a:avLst/>
        </a:prstGeom>
        <a:solidFill>
          <a:srgbClr val="424242"/>
        </a:solidFill>
        <a:ln w="12700" cap="flat">
          <a:noFill/>
          <a:miter lim="4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707593</xdr:colOff>
      <xdr:row>1</xdr:row>
      <xdr:rowOff>120107</xdr:rowOff>
    </xdr:from>
    <xdr:to>
      <xdr:col>8</xdr:col>
      <xdr:colOff>212547</xdr:colOff>
      <xdr:row>4</xdr:row>
      <xdr:rowOff>150587</xdr:rowOff>
    </xdr:to>
    <xdr:sp>
      <xdr:nvSpPr>
        <xdr:cNvPr id="3" name="匠邦APP项目报价"/>
        <xdr:cNvSpPr txBox="1"/>
      </xdr:nvSpPr>
      <xdr:spPr>
        <a:xfrm>
          <a:off x="3755593" y="285207"/>
          <a:ext cx="2552955" cy="525781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ctr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2000" u="none">
              <a:solidFill>
                <a:srgbClr val="FFFFFF"/>
              </a:solidFill>
              <a:uFillTx/>
              <a:latin typeface="Yuanti SC Regular"/>
              <a:ea typeface="Yuanti SC Regular"/>
              <a:cs typeface="Yuanti SC Regular"/>
              <a:sym typeface="Yuanti SC Regular"/>
            </a:defRPr>
          </a:pPr>
          <a:r>
            <a:rPr b="0" baseline="0" cap="none" i="0" spc="0" strike="noStrike" sz="2000" u="none">
              <a:solidFill>
                <a:srgbClr val="FFFFFF"/>
              </a:solidFill>
              <a:uFillTx/>
              <a:latin typeface="Yuanti SC Regular"/>
              <a:ea typeface="Yuanti SC Regular"/>
              <a:cs typeface="Yuanti SC Regular"/>
              <a:sym typeface="Yuanti SC Regular"/>
            </a:rPr>
            <a:t>匠邦APP项目报价       </a:t>
          </a:r>
        </a:p>
      </xdr:txBody>
    </xdr:sp>
    <xdr:clientData/>
  </xdr:twoCellAnchor>
  <xdr:twoCellAnchor>
    <xdr:from>
      <xdr:col>0</xdr:col>
      <xdr:colOff>629244</xdr:colOff>
      <xdr:row>0</xdr:row>
      <xdr:rowOff>88913</xdr:rowOff>
    </xdr:from>
    <xdr:to>
      <xdr:col>2</xdr:col>
      <xdr:colOff>386348</xdr:colOff>
      <xdr:row>2</xdr:row>
      <xdr:rowOff>143867</xdr:rowOff>
    </xdr:to>
    <xdr:pic>
      <xdr:nvPicPr>
        <xdr:cNvPr id="4" name="透明横向LOGO.png" descr="透明横向LOGO.png"/>
        <xdr:cNvPicPr>
          <a:picLocks noChangeAspect="1"/>
        </xdr:cNvPicPr>
      </xdr:nvPicPr>
      <xdr:blipFill>
        <a:blip r:embed="rId1">
          <a:extLst/>
        </a:blip>
        <a:srcRect l="0" t="0" r="0" b="0"/>
        <a:stretch>
          <a:fillRect/>
        </a:stretch>
      </xdr:blipFill>
      <xdr:spPr>
        <a:xfrm>
          <a:off x="629244" y="88913"/>
          <a:ext cx="1281105" cy="38515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2</xdr:col>
      <xdr:colOff>512770</xdr:colOff>
      <xdr:row>19</xdr:row>
      <xdr:rowOff>124646</xdr:rowOff>
    </xdr:from>
    <xdr:to>
      <xdr:col>10</xdr:col>
      <xdr:colOff>541422</xdr:colOff>
      <xdr:row>21</xdr:row>
      <xdr:rowOff>159571</xdr:rowOff>
    </xdr:to>
    <xdr:sp>
      <xdr:nvSpPr>
        <xdr:cNvPr id="5" name="评估包括以上几大版块，由【JBangIT 项目组】评估并承诺其在相同行业水准中的客观性"/>
        <xdr:cNvSpPr txBox="1"/>
      </xdr:nvSpPr>
      <xdr:spPr>
        <a:xfrm>
          <a:off x="2036770" y="3261546"/>
          <a:ext cx="6124653" cy="365126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ctr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200" u="none">
              <a:solidFill>
                <a:srgbClr val="424242"/>
              </a:solidFill>
              <a:uFillTx/>
              <a:latin typeface="PingFang SC Semibold"/>
              <a:ea typeface="PingFang SC Semibold"/>
              <a:cs typeface="PingFang SC Semibold"/>
              <a:sym typeface="PingFang SC Semibold"/>
            </a:defRPr>
          </a:pPr>
          <a:r>
            <a:rPr b="0" baseline="0" cap="none" i="0" spc="0" strike="noStrike" sz="1200" u="none">
              <a:solidFill>
                <a:srgbClr val="424242"/>
              </a:solidFill>
              <a:uFillTx/>
              <a:latin typeface="PingFang SC Semibold"/>
              <a:ea typeface="PingFang SC Semibold"/>
              <a:cs typeface="PingFang SC Semibold"/>
              <a:sym typeface="PingFang SC Semibold"/>
            </a:rPr>
            <a:t>评估包括以上几大版块，由【JBangIT 项目组】评估并承诺其在相同行业水准中的客观性</a:t>
          </a:r>
        </a:p>
      </xdr:txBody>
    </xdr:sp>
    <xdr:clientData/>
  </xdr:twoCellAnchor>
  <xdr:twoCellAnchor>
    <xdr:from>
      <xdr:col>3</xdr:col>
      <xdr:colOff>158648</xdr:colOff>
      <xdr:row>8</xdr:row>
      <xdr:rowOff>150684</xdr:rowOff>
    </xdr:from>
    <xdr:to>
      <xdr:col>3</xdr:col>
      <xdr:colOff>689270</xdr:colOff>
      <xdr:row>12</xdr:row>
      <xdr:rowOff>100499</xdr:rowOff>
    </xdr:to>
    <xdr:pic>
      <xdr:nvPicPr>
        <xdr:cNvPr id="6" name="ui.png" descr="ui.png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>
          <a:off x="2444648" y="1471484"/>
          <a:ext cx="530623" cy="610216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542933</xdr:colOff>
      <xdr:row>6</xdr:row>
      <xdr:rowOff>83761</xdr:rowOff>
    </xdr:from>
    <xdr:to>
      <xdr:col>12</xdr:col>
      <xdr:colOff>517533</xdr:colOff>
      <xdr:row>22</xdr:row>
      <xdr:rowOff>75433</xdr:rowOff>
    </xdr:to>
    <xdr:sp>
      <xdr:nvSpPr>
        <xdr:cNvPr id="7" name="矩形"/>
        <xdr:cNvSpPr/>
      </xdr:nvSpPr>
      <xdr:spPr>
        <a:xfrm>
          <a:off x="542933" y="1074361"/>
          <a:ext cx="9118601" cy="2633273"/>
        </a:xfrm>
        <a:prstGeom prst="rect">
          <a:avLst/>
        </a:prstGeom>
        <a:noFill/>
        <a:ln w="12700" cap="flat">
          <a:solidFill>
            <a:srgbClr val="7F7F7F"/>
          </a:solidFill>
          <a:prstDash val="solid"/>
          <a:miter lim="4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0</xdr:col>
      <xdr:colOff>734218</xdr:colOff>
      <xdr:row>19</xdr:row>
      <xdr:rowOff>38100</xdr:rowOff>
    </xdr:from>
    <xdr:to>
      <xdr:col>12</xdr:col>
      <xdr:colOff>319898</xdr:colOff>
      <xdr:row>19</xdr:row>
      <xdr:rowOff>38100</xdr:rowOff>
    </xdr:to>
    <xdr:sp>
      <xdr:nvSpPr>
        <xdr:cNvPr id="8" name="线条"/>
        <xdr:cNvSpPr/>
      </xdr:nvSpPr>
      <xdr:spPr>
        <a:xfrm>
          <a:off x="734218" y="3175000"/>
          <a:ext cx="8729681" cy="0"/>
        </a:xfrm>
        <a:prstGeom prst="line">
          <a:avLst/>
        </a:prstGeom>
        <a:noFill/>
        <a:ln w="12700" cap="flat">
          <a:solidFill>
            <a:srgbClr val="89847F"/>
          </a:solidFill>
          <a:prstDash val="solid"/>
          <a:miter lim="4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1</xdr:col>
      <xdr:colOff>175021</xdr:colOff>
      <xdr:row>8</xdr:row>
      <xdr:rowOff>56788</xdr:rowOff>
    </xdr:from>
    <xdr:to>
      <xdr:col>2</xdr:col>
      <xdr:colOff>683021</xdr:colOff>
      <xdr:row>17</xdr:row>
      <xdr:rowOff>47821</xdr:rowOff>
    </xdr:to>
    <xdr:grpSp>
      <xdr:nvGrpSpPr>
        <xdr:cNvPr id="14" name="成组"/>
        <xdr:cNvGrpSpPr/>
      </xdr:nvGrpSpPr>
      <xdr:grpSpPr>
        <a:xfrm>
          <a:off x="937021" y="1377588"/>
          <a:ext cx="1270001" cy="1476934"/>
          <a:chOff x="0" y="0"/>
          <a:chExt cx="1270000" cy="1476933"/>
        </a:xfrm>
      </xdr:grpSpPr>
      <xdr:grpSp>
        <xdr:nvGrpSpPr>
          <xdr:cNvPr id="12" name="成组"/>
          <xdr:cNvGrpSpPr/>
        </xdr:nvGrpSpPr>
        <xdr:grpSpPr>
          <a:xfrm>
            <a:off x="0" y="0"/>
            <a:ext cx="1270000" cy="1476934"/>
            <a:chOff x="0" y="0"/>
            <a:chExt cx="1270000" cy="1476933"/>
          </a:xfrm>
        </xdr:grpSpPr>
        <xdr:sp>
          <xdr:nvSpPr>
            <xdr:cNvPr id="9" name="矩形"/>
            <xdr:cNvSpPr/>
          </xdr:nvSpPr>
          <xdr:spPr>
            <a:xfrm>
              <a:off x="0" y="1104900"/>
              <a:ext cx="1270000" cy="372034"/>
            </a:xfrm>
            <a:prstGeom prst="rect">
              <a:avLst/>
            </a:prstGeom>
            <a:solidFill>
              <a:srgbClr val="424242"/>
            </a:solidFill>
            <a:ln w="6350" cap="flat">
              <a:solidFill>
                <a:srgbClr val="7F7F7F"/>
              </a:solidFill>
              <a:prstDash val="solid"/>
              <a:miter lim="400000"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10" name="需求分析"/>
            <xdr:cNvSpPr txBox="1"/>
          </xdr:nvSpPr>
          <xdr:spPr>
            <a:xfrm>
              <a:off x="66675" y="1103312"/>
              <a:ext cx="1157989" cy="365126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50800" tIns="50800" rIns="50800" bIns="50800" numCol="1" anchor="t">
              <a:spAutoFit/>
            </a:bodyPr>
            <a:lstStyle/>
            <a:p>
              <a:pPr marL="0" marR="0" indent="0" algn="ctr" defTabSz="4572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200" u="none">
                  <a:solidFill>
                    <a:srgbClr val="FFFFFF"/>
                  </a:solidFill>
                  <a:uFillTx/>
                  <a:latin typeface="PingFang SC Semibold"/>
                  <a:ea typeface="PingFang SC Semibold"/>
                  <a:cs typeface="PingFang SC Semibold"/>
                  <a:sym typeface="PingFang SC Semibold"/>
                </a:defRPr>
              </a:pPr>
              <a:r>
                <a:rPr b="0" baseline="0" cap="none" i="0" spc="0" strike="noStrike" sz="1200" u="none">
                  <a:solidFill>
                    <a:srgbClr val="FFFFFF"/>
                  </a:solidFill>
                  <a:uFillTx/>
                  <a:latin typeface="PingFang SC Semibold"/>
                  <a:ea typeface="PingFang SC Semibold"/>
                  <a:cs typeface="PingFang SC Semibold"/>
                  <a:sym typeface="PingFang SC Semibold"/>
                </a:rPr>
                <a:t>需求分析</a:t>
              </a:r>
            </a:p>
          </xdr:txBody>
        </xdr:sp>
        <xdr:sp>
          <xdr:nvSpPr>
            <xdr:cNvPr id="11" name="矩形"/>
            <xdr:cNvSpPr/>
          </xdr:nvSpPr>
          <xdr:spPr>
            <a:xfrm>
              <a:off x="0" y="0"/>
              <a:ext cx="1270000" cy="1475530"/>
            </a:xfrm>
            <a:prstGeom prst="rect">
              <a:avLst/>
            </a:prstGeom>
            <a:noFill/>
            <a:ln w="6350" cap="flat">
              <a:solidFill>
                <a:srgbClr val="424242"/>
              </a:solidFill>
              <a:prstDash val="solid"/>
              <a:miter lim="400000"/>
            </a:ln>
            <a:effectLst/>
          </xdr:spPr>
          <xdr:txBody>
            <a:bodyPr/>
            <a:lstStyle/>
            <a:p>
              <a:pPr/>
            </a:p>
          </xdr:txBody>
        </xdr:sp>
      </xdr:grpSp>
      <xdr:pic>
        <xdr:nvPicPr>
          <xdr:cNvPr id="13" name="需求.png" descr="需求.png"/>
          <xdr:cNvPicPr>
            <a:picLocks noChangeAspect="1"/>
          </xdr:cNvPicPr>
        </xdr:nvPicPr>
        <xdr:blipFill>
          <a:blip r:embed="rId3">
            <a:extLst/>
          </a:blip>
          <a:stretch>
            <a:fillRect/>
          </a:stretch>
        </xdr:blipFill>
        <xdr:spPr>
          <a:xfrm>
            <a:off x="356989" y="240024"/>
            <a:ext cx="530622" cy="600441"/>
          </a:xfrm>
          <a:prstGeom prst="rect">
            <a:avLst/>
          </a:prstGeom>
          <a:ln w="12700" cap="flat">
            <a:noFill/>
            <a:miter lim="400000"/>
          </a:ln>
          <a:effectLst/>
        </xdr:spPr>
      </xdr:pic>
    </xdr:grpSp>
    <xdr:clientData/>
  </xdr:twoCellAnchor>
  <xdr:twoCellAnchor>
    <xdr:from>
      <xdr:col>10</xdr:col>
      <xdr:colOff>371095</xdr:colOff>
      <xdr:row>8</xdr:row>
      <xdr:rowOff>56788</xdr:rowOff>
    </xdr:from>
    <xdr:to>
      <xdr:col>12</xdr:col>
      <xdr:colOff>117095</xdr:colOff>
      <xdr:row>17</xdr:row>
      <xdr:rowOff>47821</xdr:rowOff>
    </xdr:to>
    <xdr:grpSp>
      <xdr:nvGrpSpPr>
        <xdr:cNvPr id="20" name="成组"/>
        <xdr:cNvGrpSpPr/>
      </xdr:nvGrpSpPr>
      <xdr:grpSpPr>
        <a:xfrm>
          <a:off x="7991095" y="1377588"/>
          <a:ext cx="1270001" cy="1476934"/>
          <a:chOff x="0" y="0"/>
          <a:chExt cx="1270000" cy="1476933"/>
        </a:xfrm>
      </xdr:grpSpPr>
      <xdr:grpSp>
        <xdr:nvGrpSpPr>
          <xdr:cNvPr id="18" name="成组"/>
          <xdr:cNvGrpSpPr/>
        </xdr:nvGrpSpPr>
        <xdr:grpSpPr>
          <a:xfrm>
            <a:off x="0" y="0"/>
            <a:ext cx="1270000" cy="1476934"/>
            <a:chOff x="0" y="0"/>
            <a:chExt cx="1270000" cy="1476933"/>
          </a:xfrm>
        </xdr:grpSpPr>
        <xdr:sp>
          <xdr:nvSpPr>
            <xdr:cNvPr id="15" name="矩形"/>
            <xdr:cNvSpPr/>
          </xdr:nvSpPr>
          <xdr:spPr>
            <a:xfrm>
              <a:off x="0" y="1104900"/>
              <a:ext cx="1270000" cy="372034"/>
            </a:xfrm>
            <a:prstGeom prst="rect">
              <a:avLst/>
            </a:prstGeom>
            <a:solidFill>
              <a:srgbClr val="424242"/>
            </a:solidFill>
            <a:ln w="6350" cap="flat">
              <a:solidFill>
                <a:srgbClr val="7F7F7F"/>
              </a:solidFill>
              <a:prstDash val="solid"/>
              <a:miter lim="400000"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16" name="PC后台"/>
            <xdr:cNvSpPr txBox="1"/>
          </xdr:nvSpPr>
          <xdr:spPr>
            <a:xfrm>
              <a:off x="66675" y="1103312"/>
              <a:ext cx="1157989" cy="365126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50800" tIns="50800" rIns="50800" bIns="50800" numCol="1" anchor="t">
              <a:spAutoFit/>
            </a:bodyPr>
            <a:lstStyle/>
            <a:p>
              <a:pPr marL="0" marR="0" indent="0" algn="ctr" defTabSz="4572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200" u="none">
                  <a:solidFill>
                    <a:srgbClr val="FFFFFF"/>
                  </a:solidFill>
                  <a:uFillTx/>
                  <a:latin typeface="PingFang SC Semibold"/>
                  <a:ea typeface="PingFang SC Semibold"/>
                  <a:cs typeface="PingFang SC Semibold"/>
                  <a:sym typeface="PingFang SC Semibold"/>
                </a:defRPr>
              </a:pPr>
              <a:r>
                <a:rPr b="0" baseline="0" cap="none" i="0" spc="0" strike="noStrike" sz="1200" u="none">
                  <a:solidFill>
                    <a:srgbClr val="FFFFFF"/>
                  </a:solidFill>
                  <a:uFillTx/>
                  <a:latin typeface="PingFang SC Semibold"/>
                  <a:ea typeface="PingFang SC Semibold"/>
                  <a:cs typeface="PingFang SC Semibold"/>
                  <a:sym typeface="PingFang SC Semibold"/>
                </a:rPr>
                <a:t>PC后台</a:t>
              </a:r>
            </a:p>
          </xdr:txBody>
        </xdr:sp>
        <xdr:sp>
          <xdr:nvSpPr>
            <xdr:cNvPr id="17" name="矩形"/>
            <xdr:cNvSpPr/>
          </xdr:nvSpPr>
          <xdr:spPr>
            <a:xfrm>
              <a:off x="0" y="0"/>
              <a:ext cx="1270000" cy="1475530"/>
            </a:xfrm>
            <a:prstGeom prst="rect">
              <a:avLst/>
            </a:prstGeom>
            <a:noFill/>
            <a:ln w="6350" cap="flat">
              <a:solidFill>
                <a:srgbClr val="424242"/>
              </a:solidFill>
              <a:prstDash val="solid"/>
              <a:miter lim="400000"/>
            </a:ln>
            <a:effectLst/>
          </xdr:spPr>
          <xdr:txBody>
            <a:bodyPr/>
            <a:lstStyle/>
            <a:p>
              <a:pPr/>
            </a:p>
          </xdr:txBody>
        </xdr:sp>
      </xdr:grpSp>
      <xdr:pic>
        <xdr:nvPicPr>
          <xdr:cNvPr id="19" name="PC.png" descr="PC.png"/>
          <xdr:cNvPicPr>
            <a:picLocks noChangeAspect="1"/>
          </xdr:cNvPicPr>
        </xdr:nvPicPr>
        <xdr:blipFill>
          <a:blip r:embed="rId4">
            <a:extLst/>
          </a:blip>
          <a:stretch>
            <a:fillRect/>
          </a:stretch>
        </xdr:blipFill>
        <xdr:spPr>
          <a:xfrm>
            <a:off x="383516" y="299398"/>
            <a:ext cx="502968" cy="502967"/>
          </a:xfrm>
          <a:prstGeom prst="rect">
            <a:avLst/>
          </a:prstGeom>
          <a:ln w="12700" cap="flat">
            <a:noFill/>
            <a:miter lim="400000"/>
          </a:ln>
          <a:effectLst/>
        </xdr:spPr>
      </xdr:pic>
    </xdr:grpSp>
    <xdr:clientData/>
  </xdr:twoCellAnchor>
  <xdr:twoCellAnchor>
    <xdr:from>
      <xdr:col>3</xdr:col>
      <xdr:colOff>414540</xdr:colOff>
      <xdr:row>8</xdr:row>
      <xdr:rowOff>56788</xdr:rowOff>
    </xdr:from>
    <xdr:to>
      <xdr:col>5</xdr:col>
      <xdr:colOff>160540</xdr:colOff>
      <xdr:row>17</xdr:row>
      <xdr:rowOff>47821</xdr:rowOff>
    </xdr:to>
    <xdr:grpSp>
      <xdr:nvGrpSpPr>
        <xdr:cNvPr id="26" name="成组"/>
        <xdr:cNvGrpSpPr/>
      </xdr:nvGrpSpPr>
      <xdr:grpSpPr>
        <a:xfrm>
          <a:off x="2700540" y="1377588"/>
          <a:ext cx="1270001" cy="1476934"/>
          <a:chOff x="0" y="0"/>
          <a:chExt cx="1270000" cy="1476933"/>
        </a:xfrm>
      </xdr:grpSpPr>
      <xdr:grpSp>
        <xdr:nvGrpSpPr>
          <xdr:cNvPr id="24" name="成组"/>
          <xdr:cNvGrpSpPr/>
        </xdr:nvGrpSpPr>
        <xdr:grpSpPr>
          <a:xfrm>
            <a:off x="0" y="0"/>
            <a:ext cx="1270000" cy="1476934"/>
            <a:chOff x="0" y="0"/>
            <a:chExt cx="1270000" cy="1476933"/>
          </a:xfrm>
        </xdr:grpSpPr>
        <xdr:sp>
          <xdr:nvSpPr>
            <xdr:cNvPr id="21" name="矩形"/>
            <xdr:cNvSpPr/>
          </xdr:nvSpPr>
          <xdr:spPr>
            <a:xfrm>
              <a:off x="0" y="1104900"/>
              <a:ext cx="1270000" cy="372034"/>
            </a:xfrm>
            <a:prstGeom prst="rect">
              <a:avLst/>
            </a:prstGeom>
            <a:solidFill>
              <a:srgbClr val="424242"/>
            </a:solidFill>
            <a:ln w="6350" cap="flat">
              <a:solidFill>
                <a:srgbClr val="7F7F7F"/>
              </a:solidFill>
              <a:prstDash val="solid"/>
              <a:miter lim="400000"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22" name="UI/UE设计"/>
            <xdr:cNvSpPr txBox="1"/>
          </xdr:nvSpPr>
          <xdr:spPr>
            <a:xfrm>
              <a:off x="66675" y="1103312"/>
              <a:ext cx="1157989" cy="365126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50800" tIns="50800" rIns="50800" bIns="50800" numCol="1" anchor="t">
              <a:spAutoFit/>
            </a:bodyPr>
            <a:lstStyle/>
            <a:p>
              <a:pPr marL="0" marR="0" indent="0" algn="ctr" defTabSz="4572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200" u="none">
                  <a:solidFill>
                    <a:srgbClr val="FFFFFF"/>
                  </a:solidFill>
                  <a:uFillTx/>
                  <a:latin typeface="PingFang SC Semibold"/>
                  <a:ea typeface="PingFang SC Semibold"/>
                  <a:cs typeface="PingFang SC Semibold"/>
                  <a:sym typeface="PingFang SC Semibold"/>
                </a:defRPr>
              </a:pPr>
              <a:r>
                <a:rPr b="0" baseline="0" cap="none" i="0" spc="0" strike="noStrike" sz="1200" u="none">
                  <a:solidFill>
                    <a:srgbClr val="FFFFFF"/>
                  </a:solidFill>
                  <a:uFillTx/>
                  <a:latin typeface="PingFang SC Semibold"/>
                  <a:ea typeface="PingFang SC Semibold"/>
                  <a:cs typeface="PingFang SC Semibold"/>
                  <a:sym typeface="PingFang SC Semibold"/>
                </a:rPr>
                <a:t>UI/UE设计</a:t>
              </a:r>
            </a:p>
          </xdr:txBody>
        </xdr:sp>
        <xdr:sp>
          <xdr:nvSpPr>
            <xdr:cNvPr id="23" name="矩形"/>
            <xdr:cNvSpPr/>
          </xdr:nvSpPr>
          <xdr:spPr>
            <a:xfrm>
              <a:off x="0" y="0"/>
              <a:ext cx="1270000" cy="1475530"/>
            </a:xfrm>
            <a:prstGeom prst="rect">
              <a:avLst/>
            </a:prstGeom>
            <a:noFill/>
            <a:ln w="6350" cap="flat">
              <a:solidFill>
                <a:srgbClr val="424242"/>
              </a:solidFill>
              <a:prstDash val="solid"/>
              <a:miter lim="400000"/>
            </a:ln>
            <a:effectLst/>
          </xdr:spPr>
          <xdr:txBody>
            <a:bodyPr/>
            <a:lstStyle/>
            <a:p>
              <a:pPr/>
            </a:p>
          </xdr:txBody>
        </xdr:sp>
      </xdr:grpSp>
      <xdr:pic>
        <xdr:nvPicPr>
          <xdr:cNvPr id="25" name="ui.png" descr="ui.png"/>
          <xdr:cNvPicPr>
            <a:picLocks noChangeAspect="1"/>
          </xdr:cNvPicPr>
        </xdr:nvPicPr>
        <xdr:blipFill>
          <a:blip r:embed="rId5">
            <a:extLst/>
          </a:blip>
          <a:stretch>
            <a:fillRect/>
          </a:stretch>
        </xdr:blipFill>
        <xdr:spPr>
          <a:xfrm>
            <a:off x="356790" y="218164"/>
            <a:ext cx="565979" cy="635001"/>
          </a:xfrm>
          <a:prstGeom prst="rect">
            <a:avLst/>
          </a:prstGeom>
          <a:ln w="12700" cap="flat">
            <a:noFill/>
            <a:miter lim="400000"/>
          </a:ln>
          <a:effectLst/>
        </xdr:spPr>
      </xdr:pic>
    </xdr:grpSp>
    <xdr:clientData/>
  </xdr:twoCellAnchor>
  <xdr:twoCellAnchor>
    <xdr:from>
      <xdr:col>5</xdr:col>
      <xdr:colOff>654058</xdr:colOff>
      <xdr:row>8</xdr:row>
      <xdr:rowOff>56788</xdr:rowOff>
    </xdr:from>
    <xdr:to>
      <xdr:col>7</xdr:col>
      <xdr:colOff>400058</xdr:colOff>
      <xdr:row>17</xdr:row>
      <xdr:rowOff>47821</xdr:rowOff>
    </xdr:to>
    <xdr:grpSp>
      <xdr:nvGrpSpPr>
        <xdr:cNvPr id="32" name="成组"/>
        <xdr:cNvGrpSpPr/>
      </xdr:nvGrpSpPr>
      <xdr:grpSpPr>
        <a:xfrm>
          <a:off x="4464058" y="1377588"/>
          <a:ext cx="1270001" cy="1476934"/>
          <a:chOff x="0" y="0"/>
          <a:chExt cx="1270000" cy="1476933"/>
        </a:xfrm>
      </xdr:grpSpPr>
      <xdr:grpSp>
        <xdr:nvGrpSpPr>
          <xdr:cNvPr id="30" name="成组"/>
          <xdr:cNvGrpSpPr/>
        </xdr:nvGrpSpPr>
        <xdr:grpSpPr>
          <a:xfrm>
            <a:off x="0" y="0"/>
            <a:ext cx="1270000" cy="1476934"/>
            <a:chOff x="0" y="0"/>
            <a:chExt cx="1270000" cy="1476933"/>
          </a:xfrm>
        </xdr:grpSpPr>
        <xdr:sp>
          <xdr:nvSpPr>
            <xdr:cNvPr id="27" name="矩形"/>
            <xdr:cNvSpPr/>
          </xdr:nvSpPr>
          <xdr:spPr>
            <a:xfrm>
              <a:off x="0" y="1104900"/>
              <a:ext cx="1270000" cy="372034"/>
            </a:xfrm>
            <a:prstGeom prst="rect">
              <a:avLst/>
            </a:prstGeom>
            <a:solidFill>
              <a:srgbClr val="424242"/>
            </a:solidFill>
            <a:ln w="6350" cap="flat">
              <a:solidFill>
                <a:srgbClr val="7F7F7F"/>
              </a:solidFill>
              <a:prstDash val="solid"/>
              <a:miter lim="400000"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28" name="小程序"/>
            <xdr:cNvSpPr txBox="1"/>
          </xdr:nvSpPr>
          <xdr:spPr>
            <a:xfrm>
              <a:off x="66675" y="1103312"/>
              <a:ext cx="1157989" cy="365126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50800" tIns="50800" rIns="50800" bIns="50800" numCol="1" anchor="t">
              <a:spAutoFit/>
            </a:bodyPr>
            <a:lstStyle/>
            <a:p>
              <a:pPr marL="0" marR="0" indent="0" algn="ctr" defTabSz="4572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200" u="none">
                  <a:solidFill>
                    <a:srgbClr val="FFFFFF"/>
                  </a:solidFill>
                  <a:uFillTx/>
                  <a:latin typeface="PingFang SC Semibold"/>
                  <a:ea typeface="PingFang SC Semibold"/>
                  <a:cs typeface="PingFang SC Semibold"/>
                  <a:sym typeface="PingFang SC Semibold"/>
                </a:defRPr>
              </a:pPr>
              <a:r>
                <a:rPr b="0" baseline="0" cap="none" i="0" spc="0" strike="noStrike" sz="1200" u="none">
                  <a:solidFill>
                    <a:srgbClr val="FFFFFF"/>
                  </a:solidFill>
                  <a:uFillTx/>
                  <a:latin typeface="PingFang SC Semibold"/>
                  <a:ea typeface="PingFang SC Semibold"/>
                  <a:cs typeface="PingFang SC Semibold"/>
                  <a:sym typeface="PingFang SC Semibold"/>
                </a:rPr>
                <a:t>小程序</a:t>
              </a:r>
            </a:p>
          </xdr:txBody>
        </xdr:sp>
        <xdr:sp>
          <xdr:nvSpPr>
            <xdr:cNvPr id="29" name="矩形"/>
            <xdr:cNvSpPr/>
          </xdr:nvSpPr>
          <xdr:spPr>
            <a:xfrm>
              <a:off x="0" y="0"/>
              <a:ext cx="1270000" cy="1475530"/>
            </a:xfrm>
            <a:prstGeom prst="rect">
              <a:avLst/>
            </a:prstGeom>
            <a:noFill/>
            <a:ln w="6350" cap="flat">
              <a:solidFill>
                <a:srgbClr val="424242"/>
              </a:solidFill>
              <a:prstDash val="solid"/>
              <a:miter lim="400000"/>
            </a:ln>
            <a:effectLst/>
          </xdr:spPr>
          <xdr:txBody>
            <a:bodyPr/>
            <a:lstStyle/>
            <a:p>
              <a:pPr/>
            </a:p>
          </xdr:txBody>
        </xdr:sp>
      </xdr:grpSp>
      <xdr:pic>
        <xdr:nvPicPr>
          <xdr:cNvPr id="31" name="小程序.png" descr="小程序.png"/>
          <xdr:cNvPicPr>
            <a:picLocks noChangeAspect="1"/>
          </xdr:cNvPicPr>
        </xdr:nvPicPr>
        <xdr:blipFill>
          <a:blip r:embed="rId6">
            <a:extLst/>
          </a:blip>
          <a:srcRect l="0" t="0" r="0" b="0"/>
          <a:stretch>
            <a:fillRect/>
          </a:stretch>
        </xdr:blipFill>
        <xdr:spPr>
          <a:xfrm>
            <a:off x="388540" y="323847"/>
            <a:ext cx="492832" cy="449113"/>
          </a:xfrm>
          <a:prstGeom prst="rect">
            <a:avLst/>
          </a:prstGeom>
          <a:ln w="12700" cap="flat">
            <a:noFill/>
            <a:miter lim="400000"/>
          </a:ln>
          <a:effectLst/>
        </xdr:spPr>
      </xdr:pic>
    </xdr:grpSp>
    <xdr:clientData/>
  </xdr:twoCellAnchor>
  <xdr:twoCellAnchor>
    <xdr:from>
      <xdr:col>8</xdr:col>
      <xdr:colOff>131576</xdr:colOff>
      <xdr:row>8</xdr:row>
      <xdr:rowOff>56788</xdr:rowOff>
    </xdr:from>
    <xdr:to>
      <xdr:col>9</xdr:col>
      <xdr:colOff>639576</xdr:colOff>
      <xdr:row>17</xdr:row>
      <xdr:rowOff>47821</xdr:rowOff>
    </xdr:to>
    <xdr:grpSp>
      <xdr:nvGrpSpPr>
        <xdr:cNvPr id="38" name="成组"/>
        <xdr:cNvGrpSpPr/>
      </xdr:nvGrpSpPr>
      <xdr:grpSpPr>
        <a:xfrm>
          <a:off x="6227576" y="1377588"/>
          <a:ext cx="1270001" cy="1476934"/>
          <a:chOff x="0" y="0"/>
          <a:chExt cx="1270000" cy="1476933"/>
        </a:xfrm>
      </xdr:grpSpPr>
      <xdr:grpSp>
        <xdr:nvGrpSpPr>
          <xdr:cNvPr id="36" name="成组"/>
          <xdr:cNvGrpSpPr/>
        </xdr:nvGrpSpPr>
        <xdr:grpSpPr>
          <a:xfrm>
            <a:off x="0" y="0"/>
            <a:ext cx="1270000" cy="1476934"/>
            <a:chOff x="0" y="0"/>
            <a:chExt cx="1270000" cy="1476933"/>
          </a:xfrm>
        </xdr:grpSpPr>
        <xdr:sp>
          <xdr:nvSpPr>
            <xdr:cNvPr id="33" name="矩形"/>
            <xdr:cNvSpPr/>
          </xdr:nvSpPr>
          <xdr:spPr>
            <a:xfrm>
              <a:off x="0" y="1104900"/>
              <a:ext cx="1270000" cy="372034"/>
            </a:xfrm>
            <a:prstGeom prst="rect">
              <a:avLst/>
            </a:prstGeom>
            <a:solidFill>
              <a:srgbClr val="424242"/>
            </a:solidFill>
            <a:ln w="6350" cap="flat">
              <a:solidFill>
                <a:srgbClr val="7F7F7F"/>
              </a:solidFill>
              <a:prstDash val="solid"/>
              <a:miter lim="400000"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34" name="微信端"/>
            <xdr:cNvSpPr txBox="1"/>
          </xdr:nvSpPr>
          <xdr:spPr>
            <a:xfrm>
              <a:off x="66675" y="1103312"/>
              <a:ext cx="1157989" cy="365126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50800" tIns="50800" rIns="50800" bIns="50800" numCol="1" anchor="t">
              <a:spAutoFit/>
            </a:bodyPr>
            <a:lstStyle/>
            <a:p>
              <a:pPr marL="0" marR="0" indent="0" algn="ctr" defTabSz="4572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200" u="none">
                  <a:solidFill>
                    <a:srgbClr val="FFFFFF"/>
                  </a:solidFill>
                  <a:uFillTx/>
                  <a:latin typeface="PingFang SC Semibold"/>
                  <a:ea typeface="PingFang SC Semibold"/>
                  <a:cs typeface="PingFang SC Semibold"/>
                  <a:sym typeface="PingFang SC Semibold"/>
                </a:defRPr>
              </a:pPr>
              <a:r>
                <a:rPr b="0" baseline="0" cap="none" i="0" spc="0" strike="noStrike" sz="1200" u="none">
                  <a:solidFill>
                    <a:srgbClr val="FFFFFF"/>
                  </a:solidFill>
                  <a:uFillTx/>
                  <a:latin typeface="PingFang SC Semibold"/>
                  <a:ea typeface="PingFang SC Semibold"/>
                  <a:cs typeface="PingFang SC Semibold"/>
                  <a:sym typeface="PingFang SC Semibold"/>
                </a:rPr>
                <a:t>微信端</a:t>
              </a:r>
            </a:p>
          </xdr:txBody>
        </xdr:sp>
        <xdr:sp>
          <xdr:nvSpPr>
            <xdr:cNvPr id="35" name="矩形"/>
            <xdr:cNvSpPr/>
          </xdr:nvSpPr>
          <xdr:spPr>
            <a:xfrm>
              <a:off x="0" y="0"/>
              <a:ext cx="1270000" cy="1475530"/>
            </a:xfrm>
            <a:prstGeom prst="rect">
              <a:avLst/>
            </a:prstGeom>
            <a:noFill/>
            <a:ln w="6350" cap="flat">
              <a:solidFill>
                <a:srgbClr val="424242"/>
              </a:solidFill>
              <a:prstDash val="solid"/>
              <a:miter lim="400000"/>
            </a:ln>
            <a:effectLst/>
          </xdr:spPr>
          <xdr:txBody>
            <a:bodyPr/>
            <a:lstStyle/>
            <a:p>
              <a:pPr/>
            </a:p>
          </xdr:txBody>
        </xdr:sp>
      </xdr:grpSp>
      <xdr:pic>
        <xdr:nvPicPr>
          <xdr:cNvPr id="37" name="微信.png" descr="微信.png"/>
          <xdr:cNvPicPr>
            <a:picLocks noChangeAspect="1"/>
          </xdr:cNvPicPr>
        </xdr:nvPicPr>
        <xdr:blipFill>
          <a:blip r:embed="rId7">
            <a:extLst/>
          </a:blip>
          <a:srcRect l="0" t="0" r="0" b="0"/>
          <a:stretch>
            <a:fillRect/>
          </a:stretch>
        </xdr:blipFill>
        <xdr:spPr>
          <a:xfrm>
            <a:off x="361344" y="269754"/>
            <a:ext cx="625042" cy="610161"/>
          </a:xfrm>
          <a:prstGeom prst="rect">
            <a:avLst/>
          </a:prstGeom>
          <a:ln w="12700" cap="flat">
            <a:noFill/>
            <a:miter lim="400000"/>
          </a:ln>
          <a:effectLst/>
        </xdr:spPr>
      </xdr:pic>
    </xdr:grp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06_GradeBook">
  <a:themeElements>
    <a:clrScheme name="06_GradeBook">
      <a:dk1>
        <a:srgbClr val="000000"/>
      </a:dk1>
      <a:lt1>
        <a:srgbClr val="FFFFFF"/>
      </a:lt1>
      <a:dk2>
        <a:srgbClr val="89847F"/>
      </a:dk2>
      <a:lt2>
        <a:srgbClr val="EDEAE7"/>
      </a:lt2>
      <a:accent1>
        <a:srgbClr val="0097C0"/>
      </a:accent1>
      <a:accent2>
        <a:srgbClr val="4F9D8D"/>
      </a:accent2>
      <a:accent3>
        <a:srgbClr val="517F25"/>
      </a:accent3>
      <a:accent4>
        <a:srgbClr val="C78D31"/>
      </a:accent4>
      <a:accent5>
        <a:srgbClr val="E76702"/>
      </a:accent5>
      <a:accent6>
        <a:srgbClr val="F8653C"/>
      </a:accent6>
      <a:hlink>
        <a:srgbClr val="0000FF"/>
      </a:hlink>
      <a:folHlink>
        <a:srgbClr val="FF00FF"/>
      </a:folHlink>
    </a:clrScheme>
    <a:fontScheme name="06_GradeBook">
      <a:majorFont>
        <a:latin typeface="Avenir Next Medium"/>
        <a:ea typeface="Avenir Next Medium"/>
        <a:cs typeface="Avenir Next Medium"/>
      </a:majorFont>
      <a:minorFont>
        <a:latin typeface="Superclarendon Regular"/>
        <a:ea typeface="Superclarendon Regular"/>
        <a:cs typeface="Superclarendon Regular"/>
      </a:minorFont>
    </a:fontScheme>
    <a:fmtScheme name="06_GradeBoo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5">
            <a:hueOff val="-369091"/>
            <a:satOff val="-11559"/>
            <a:lumOff val="-3247"/>
          </a:schemeClr>
        </a:solidFill>
        <a:ln w="12700" cap="flat">
          <a:solidFill>
            <a:srgbClr val="FFFFFF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+mj-lt"/>
            <a:ea typeface="+mj-ea"/>
            <a:cs typeface="+mj-cs"/>
            <a:sym typeface="Avenir Next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3175" cap="flat">
          <a:solidFill>
            <a:srgbClr val="444444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10000"/>
          </a:lnSpc>
          <a:spcBef>
            <a:spcPts val="90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venir Next Regular"/>
            <a:ea typeface="Avenir Next Regular"/>
            <a:cs typeface="Avenir Next Regular"/>
            <a:sym typeface="Avenir Next Regular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 showGridLines="0" defaultGridColor="1"/>
  </sheetViews>
  <sheetFormatPr defaultColWidth="10" defaultRowHeight="13" customHeight="1" outlineLevelRow="0" outlineLevelCol="0"/>
  <cols>
    <col min="1" max="1" width="2" customWidth="1"/>
    <col min="2" max="4" width="33.6016" customWidth="1"/>
  </cols>
  <sheetData>
    <row r="3" ht="50" customHeight="1">
      <c r="B3" t="s" s="1">
        <v>0</v>
      </c>
      <c r="C3"/>
      <c r="D3"/>
    </row>
    <row r="7">
      <c r="B7" t="s" s="2">
        <v>1</v>
      </c>
      <c r="C7" t="s" s="2">
        <v>2</v>
      </c>
      <c r="D7" t="s" s="2">
        <v>3</v>
      </c>
    </row>
    <row r="9">
      <c r="B9" t="s" s="3">
        <v>4</v>
      </c>
      <c r="C9" s="3"/>
      <c r="D9" s="3"/>
    </row>
    <row r="10">
      <c r="B10" s="4"/>
      <c r="C10" t="s" s="4">
        <v>5</v>
      </c>
      <c r="D10" t="s" s="5">
        <v>6</v>
      </c>
    </row>
    <row r="11">
      <c r="B11" s="4"/>
      <c r="C11" t="s" s="4">
        <v>18</v>
      </c>
      <c r="D11" t="s" s="5">
        <v>19</v>
      </c>
    </row>
    <row r="12">
      <c r="B12" s="4"/>
      <c r="C12" t="s" s="4">
        <v>31</v>
      </c>
      <c r="D12" t="s" s="5">
        <v>32</v>
      </c>
    </row>
    <row r="13">
      <c r="B13" s="4"/>
      <c r="C13" t="s" s="4">
        <v>63</v>
      </c>
      <c r="D13" t="s" s="5">
        <v>64</v>
      </c>
    </row>
    <row r="14">
      <c r="B14" s="4"/>
      <c r="C14" t="s" s="4">
        <v>66</v>
      </c>
      <c r="D14" t="s" s="5">
        <v>67</v>
      </c>
    </row>
    <row r="15">
      <c r="B15" s="4"/>
      <c r="C15" t="s" s="4">
        <v>79</v>
      </c>
      <c r="D15" t="s" s="5">
        <v>80</v>
      </c>
    </row>
    <row r="16">
      <c r="B16" s="4"/>
      <c r="C16" t="s" s="4">
        <v>90</v>
      </c>
      <c r="D16" t="s" s="5">
        <v>91</v>
      </c>
    </row>
    <row r="17">
      <c r="B17" s="4"/>
      <c r="C17" t="s" s="4">
        <v>104</v>
      </c>
      <c r="D17" t="s" s="5">
        <v>105</v>
      </c>
    </row>
    <row r="18">
      <c r="B18" t="s" s="3">
        <v>106</v>
      </c>
      <c r="C18" s="3"/>
      <c r="D18" s="3"/>
    </row>
    <row r="19">
      <c r="B19" s="4"/>
      <c r="C19" t="s" s="4">
        <v>107</v>
      </c>
      <c r="D19" t="s" s="5">
        <v>108</v>
      </c>
    </row>
  </sheetData>
  <mergeCells count="1">
    <mergeCell ref="B3:D3"/>
  </mergeCells>
  <hyperlinks>
    <hyperlink ref="D10" location="'报价表 - 1、 需求分析 | Demand analysis'!R2C1" tooltip="" display="报价表 - 1、 需求分析 | Demand analysis"/>
    <hyperlink ref="D11" location="'报价表 - 2、界面 &amp; 交互设计 | UI &amp; UX Des'!R2C1" tooltip="" display="报价表 - 2、界面 &amp; 交互设计 | UI &amp; UX Des"/>
    <hyperlink ref="D12" location="'报价表 - 3、安卓端开发 | Android Applica'!R2C1" tooltip="" display="报价表 - 3、安卓端开发 | Android Applica"/>
    <hyperlink ref="D13" location="'报价表 - 4、苹果端开发 | iOS Application'!R2C1" tooltip="" display="报价表 - 4、苹果端开发 | iOS Application"/>
    <hyperlink ref="D14" location="'报价表 - 5、PC内容管理系统 | CMS'!R2C1" tooltip="" display="报价表 - 5、PC内容管理系统 | CMS"/>
    <hyperlink ref="D15" location="'报价表 - 6、费用总计 | Total expenses'!R1C1" tooltip="" display="报价表 - 6、费用总计 | Total expenses"/>
    <hyperlink ref="D16" location="'报价表 - 6、费用总计 | Total expenses-1'!R1C1" tooltip="" display="报价表 - 6、费用总计 | Total expenses-1"/>
    <hyperlink ref="D17" location="'报价表 - 绘图'!R1C1" tooltip="" display="报价表 - 绘图"/>
    <hyperlink ref="D19" location="'人天单价 - Table 1'!R1C1" tooltip="" display="人天单价 - Table 1"/>
  </hyperlinks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4"/>
  <sheetViews>
    <sheetView workbookViewId="0" showGridLines="0" defaultGridColor="1"/>
  </sheetViews>
  <sheetFormatPr defaultColWidth="21.6698" defaultRowHeight="21.65" customHeight="1" outlineLevelRow="0" outlineLevelCol="0"/>
  <cols>
    <col min="1" max="1" width="6.20312" style="6" customWidth="1"/>
    <col min="2" max="2" width="17.9062" style="6" customWidth="1"/>
    <col min="3" max="3" width="18.1562" style="6" customWidth="1"/>
    <col min="4" max="4" width="49.375" style="6" customWidth="1"/>
    <col min="5" max="5" width="14.8125" style="6" customWidth="1"/>
    <col min="6" max="6" width="13.6016" style="6" customWidth="1"/>
    <col min="7" max="16384" width="21.6797" style="6" customWidth="1"/>
  </cols>
  <sheetData>
    <row r="1" ht="39.65" customHeight="1">
      <c r="A1" t="s" s="7">
        <v>5</v>
      </c>
      <c r="B1" s="7"/>
      <c r="C1" s="7"/>
      <c r="D1" s="7"/>
      <c r="E1" s="7"/>
      <c r="F1" s="7"/>
    </row>
    <row r="2" ht="40" customHeight="1">
      <c r="A2" t="s" s="8">
        <v>7</v>
      </c>
      <c r="B2" t="s" s="9">
        <v>8</v>
      </c>
      <c r="C2" t="s" s="9">
        <v>9</v>
      </c>
      <c r="D2" t="s" s="9">
        <v>10</v>
      </c>
      <c r="E2" t="s" s="9">
        <v>11</v>
      </c>
      <c r="F2" t="s" s="10">
        <v>12</v>
      </c>
    </row>
    <row r="3" ht="65.7" customHeight="1">
      <c r="A3" t="s" s="11">
        <v>13</v>
      </c>
      <c r="B3" t="s" s="12">
        <v>14</v>
      </c>
      <c r="C3" t="s" s="13">
        <v>15</v>
      </c>
      <c r="D3" t="s" s="14">
        <v>16</v>
      </c>
      <c r="E3" s="15">
        <v>2</v>
      </c>
      <c r="F3" s="16" cm="1">
        <f t="array" ref="F3">PRODUCT(E3*_xlfn.SINGLE('人天单价 - Table 1'!A1:A2))</f>
        <v>2000</v>
      </c>
    </row>
    <row r="4" ht="49.8" customHeight="1">
      <c r="A4" t="s" s="17">
        <v>17</v>
      </c>
      <c r="B4" s="18"/>
      <c r="C4" s="18"/>
      <c r="D4" s="19"/>
      <c r="E4" s="20" cm="1">
        <f t="array" ref="E4">SUM(E3:E3)</f>
        <v>2</v>
      </c>
      <c r="F4" s="21" cm="1">
        <f t="array" ref="F4">SUM(F3:F3)</f>
        <v>2000</v>
      </c>
    </row>
  </sheetData>
  <mergeCells count="2">
    <mergeCell ref="A1:F1"/>
    <mergeCell ref="A4:C4"/>
  </mergeCells>
  <conditionalFormatting sqref="B3:F3">
    <cfRule type="cellIs" dxfId="0" priority="1" operator="lessThan" stopIfTrue="1">
      <formula>#REF!</formula>
    </cfRule>
  </conditionalFormatting>
  <pageMargins left="0" right="0.25" top="0.25" bottom="0.25" header="0.25" footer="0.25"/>
  <pageSetup firstPageNumber="1" fitToHeight="1" fitToWidth="1" scale="100" useFirstPageNumber="0" orientation="portrait" pageOrder="downThenOver"/>
  <headerFooter>
    <oddFooter>&amp;C&amp;"Superclarendon Light,Regular"&amp;10&amp;K191919&amp;P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7"/>
  <sheetViews>
    <sheetView workbookViewId="0" showGridLines="0" defaultGridColor="1"/>
  </sheetViews>
  <sheetFormatPr defaultColWidth="21.6698" defaultRowHeight="21.65" customHeight="1" outlineLevelRow="0" outlineLevelCol="0"/>
  <cols>
    <col min="1" max="1" width="6.20312" style="22" customWidth="1"/>
    <col min="2" max="2" width="17.9062" style="22" customWidth="1"/>
    <col min="3" max="3" width="18.1562" style="22" customWidth="1"/>
    <col min="4" max="4" width="49.375" style="22" customWidth="1"/>
    <col min="5" max="5" width="14.8125" style="22" customWidth="1"/>
    <col min="6" max="6" width="13.6016" style="22" customWidth="1"/>
    <col min="7" max="16384" width="21.6797" style="22" customWidth="1"/>
  </cols>
  <sheetData>
    <row r="1" ht="39.65" customHeight="1">
      <c r="A1" t="s" s="7">
        <v>18</v>
      </c>
      <c r="B1" s="7"/>
      <c r="C1" s="7"/>
      <c r="D1" s="7"/>
      <c r="E1" s="7"/>
      <c r="F1" s="7"/>
    </row>
    <row r="2" ht="40" customHeight="1">
      <c r="A2" t="s" s="8">
        <v>7</v>
      </c>
      <c r="B2" t="s" s="9">
        <v>8</v>
      </c>
      <c r="C2" t="s" s="9">
        <v>9</v>
      </c>
      <c r="D2" t="s" s="9">
        <v>10</v>
      </c>
      <c r="E2" t="s" s="9">
        <v>11</v>
      </c>
      <c r="F2" t="s" s="10">
        <v>12</v>
      </c>
    </row>
    <row r="3" ht="55.85" customHeight="1">
      <c r="A3" t="s" s="11">
        <v>13</v>
      </c>
      <c r="B3" t="s" s="12">
        <v>20</v>
      </c>
      <c r="C3" t="s" s="23">
        <v>15</v>
      </c>
      <c r="D3" t="s" s="24">
        <v>21</v>
      </c>
      <c r="E3" s="25">
        <v>2</v>
      </c>
      <c r="F3" s="16" cm="1">
        <f t="array" ref="F3">PRODUCT(E3*_xlfn.SINGLE('人天单价 - Table 1'!A1:A2))</f>
        <v>2000</v>
      </c>
    </row>
    <row r="4" ht="60.2" customHeight="1">
      <c r="A4" t="s" s="26">
        <v>22</v>
      </c>
      <c r="B4" t="s" s="27">
        <v>23</v>
      </c>
      <c r="C4" t="s" s="28">
        <v>15</v>
      </c>
      <c r="D4" t="s" s="29">
        <v>24</v>
      </c>
      <c r="E4" s="30">
        <v>2</v>
      </c>
      <c r="F4" s="31" cm="1">
        <f t="array" ref="F4">PRODUCT(E4*_xlfn.SINGLE('人天单价 - Table 1'!A1:A2))</f>
        <v>2000</v>
      </c>
    </row>
    <row r="5" ht="90.3" customHeight="1">
      <c r="A5" t="s" s="26">
        <v>25</v>
      </c>
      <c r="B5" t="s" s="32">
        <v>26</v>
      </c>
      <c r="C5" t="s" s="33">
        <v>27</v>
      </c>
      <c r="D5" t="s" s="34">
        <v>28</v>
      </c>
      <c r="E5" s="35">
        <v>3</v>
      </c>
      <c r="F5" s="36" cm="1">
        <f t="array" ref="F5">PRODUCT(E5*_xlfn.SINGLE('人天单价 - Table 1'!A1:A2))</f>
        <v>3000</v>
      </c>
    </row>
    <row r="6" ht="95.35" customHeight="1">
      <c r="A6" s="37"/>
      <c r="B6" s="38"/>
      <c r="C6" t="s" s="39">
        <v>29</v>
      </c>
      <c r="D6" t="s" s="29">
        <v>30</v>
      </c>
      <c r="E6" s="40">
        <v>2</v>
      </c>
      <c r="F6" s="41" cm="1">
        <f t="array" ref="F6">PRODUCT(E6*_xlfn.SINGLE('人天单价 - Table 1'!A1:A2))</f>
        <v>2000</v>
      </c>
    </row>
    <row r="7" ht="49.8" customHeight="1">
      <c r="A7" t="s" s="42">
        <v>17</v>
      </c>
      <c r="B7" s="43"/>
      <c r="C7" s="43"/>
      <c r="D7" s="19"/>
      <c r="E7" s="44" cm="1">
        <f t="array" ref="E7">SUM(E3:E6)</f>
        <v>9</v>
      </c>
      <c r="F7" s="45" cm="1">
        <f t="array" ref="F7">SUM(F3:F6)</f>
        <v>9000</v>
      </c>
    </row>
  </sheetData>
  <mergeCells count="4">
    <mergeCell ref="A1:F1"/>
    <mergeCell ref="A7:C7"/>
    <mergeCell ref="B5:B6"/>
    <mergeCell ref="A5:A6"/>
  </mergeCells>
  <conditionalFormatting sqref="B3:F5 C6:F6">
    <cfRule type="cellIs" dxfId="1" priority="1" operator="lessThan" stopIfTrue="1">
      <formula>#REF!</formula>
    </cfRule>
  </conditionalFormatting>
  <pageMargins left="0" right="0.25" top="0.25" bottom="0.25" header="0.25" footer="0.25"/>
  <pageSetup firstPageNumber="1" fitToHeight="1" fitToWidth="1" scale="100" useFirstPageNumber="0" orientation="portrait" pageOrder="downThenOver"/>
  <headerFooter>
    <oddFooter>&amp;C&amp;"Superclarendon Light,Regular"&amp;10&amp;K191919&amp;P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14"/>
  <sheetViews>
    <sheetView workbookViewId="0" showGridLines="0" defaultGridColor="1"/>
  </sheetViews>
  <sheetFormatPr defaultColWidth="21.6698" defaultRowHeight="21.65" customHeight="1" outlineLevelRow="0" outlineLevelCol="0"/>
  <cols>
    <col min="1" max="1" width="6.20312" style="46" customWidth="1"/>
    <col min="2" max="2" width="17.9062" style="46" customWidth="1"/>
    <col min="3" max="3" width="18.1562" style="46" customWidth="1"/>
    <col min="4" max="4" width="49.375" style="46" customWidth="1"/>
    <col min="5" max="5" width="14.8125" style="46" customWidth="1"/>
    <col min="6" max="6" width="13.6016" style="46" customWidth="1"/>
    <col min="7" max="16384" width="21.6797" style="46" customWidth="1"/>
  </cols>
  <sheetData>
    <row r="1" ht="39.65" customHeight="1">
      <c r="A1" t="s" s="7">
        <v>31</v>
      </c>
      <c r="B1" s="7"/>
      <c r="C1" s="7"/>
      <c r="D1" s="7"/>
      <c r="E1" s="7"/>
      <c r="F1" s="7"/>
    </row>
    <row r="2" ht="40" customHeight="1">
      <c r="A2" t="s" s="8">
        <v>7</v>
      </c>
      <c r="B2" t="s" s="9">
        <v>8</v>
      </c>
      <c r="C2" t="s" s="9">
        <v>9</v>
      </c>
      <c r="D2" t="s" s="9">
        <v>10</v>
      </c>
      <c r="E2" t="s" s="9">
        <v>11</v>
      </c>
      <c r="F2" t="s" s="10">
        <v>12</v>
      </c>
    </row>
    <row r="3" ht="49.25" customHeight="1">
      <c r="A3" t="s" s="11">
        <v>13</v>
      </c>
      <c r="B3" t="s" s="12">
        <v>33</v>
      </c>
      <c r="C3" t="s" s="23">
        <v>34</v>
      </c>
      <c r="D3" t="s" s="24">
        <v>35</v>
      </c>
      <c r="E3" s="25">
        <v>1</v>
      </c>
      <c r="F3" s="16" cm="1">
        <f t="array" ref="F3">PRODUCT(E3*_xlfn.SINGLE('人天单价 - Table 1'!A1:A2))</f>
        <v>1000</v>
      </c>
    </row>
    <row r="4" ht="52.35" customHeight="1">
      <c r="A4" s="26"/>
      <c r="B4" s="47"/>
      <c r="C4" t="s" s="28">
        <v>36</v>
      </c>
      <c r="D4" t="s" s="29">
        <v>37</v>
      </c>
      <c r="E4" s="30">
        <v>3</v>
      </c>
      <c r="F4" s="31" cm="1">
        <f t="array" ref="F4">PRODUCT(E4*_xlfn.SINGLE('人天单价 - Table 1'!A1:A2))</f>
        <v>3000</v>
      </c>
    </row>
    <row r="5" ht="45.15" customHeight="1">
      <c r="A5" t="s" s="26">
        <v>22</v>
      </c>
      <c r="B5" t="s" s="32">
        <v>38</v>
      </c>
      <c r="C5" t="s" s="33">
        <v>38</v>
      </c>
      <c r="D5" t="s" s="34">
        <v>39</v>
      </c>
      <c r="E5" s="35">
        <v>0.5</v>
      </c>
      <c r="F5" s="36" cm="1">
        <f t="array" ref="F5">PRODUCT(E5*_xlfn.SINGLE('人天单价 - Table 1'!A1:A2))</f>
        <v>500</v>
      </c>
    </row>
    <row r="6" ht="53.55" customHeight="1">
      <c r="A6" s="48"/>
      <c r="B6" s="49"/>
      <c r="C6" t="s" s="28">
        <v>40</v>
      </c>
      <c r="D6" t="s" s="29">
        <v>41</v>
      </c>
      <c r="E6" s="30">
        <v>1</v>
      </c>
      <c r="F6" s="31" cm="1">
        <f t="array" ref="F6">PRODUCT(E6*_xlfn.SINGLE('人天单价 - Table 1'!A1:A2))</f>
        <v>1000</v>
      </c>
    </row>
    <row r="7" ht="67.95" customHeight="1">
      <c r="A7" t="s" s="26">
        <v>42</v>
      </c>
      <c r="B7" t="s" s="32">
        <v>43</v>
      </c>
      <c r="C7" t="s" s="33">
        <v>44</v>
      </c>
      <c r="D7" t="s" s="34">
        <v>45</v>
      </c>
      <c r="E7" s="35">
        <v>1</v>
      </c>
      <c r="F7" s="36" cm="1">
        <f t="array" ref="F7">PRODUCT(E7*_xlfn.SINGLE('人天单价 - Table 1'!A1:A2))</f>
        <v>1000</v>
      </c>
    </row>
    <row r="8" ht="77.4" customHeight="1">
      <c r="A8" s="26"/>
      <c r="B8" s="47"/>
      <c r="C8" t="s" s="28">
        <v>46</v>
      </c>
      <c r="D8" t="s" s="29">
        <v>47</v>
      </c>
      <c r="E8" s="30">
        <v>1</v>
      </c>
      <c r="F8" s="31" cm="1">
        <f t="array" ref="F8">PRODUCT(E8*_xlfn.SINGLE('人天单价 - Table 1'!A1:A2))</f>
        <v>1000</v>
      </c>
    </row>
    <row r="9" ht="66.55" customHeight="1">
      <c r="A9" t="s" s="26">
        <v>48</v>
      </c>
      <c r="B9" t="s" s="32">
        <v>49</v>
      </c>
      <c r="C9" t="s" s="33">
        <v>15</v>
      </c>
      <c r="D9" t="s" s="34">
        <v>50</v>
      </c>
      <c r="E9" s="35">
        <v>1</v>
      </c>
      <c r="F9" s="36" cm="1">
        <f t="array" ref="F9">PRODUCT(E9*_xlfn.SINGLE('人天单价 - Table 1'!A1:A2))</f>
        <v>1000</v>
      </c>
    </row>
    <row r="10" ht="63.85" customHeight="1">
      <c r="A10" t="s" s="26">
        <v>51</v>
      </c>
      <c r="B10" t="s" s="27">
        <v>52</v>
      </c>
      <c r="C10" t="s" s="28">
        <v>53</v>
      </c>
      <c r="D10" t="s" s="29">
        <v>54</v>
      </c>
      <c r="E10" s="30">
        <v>2</v>
      </c>
      <c r="F10" s="31" cm="1">
        <f t="array" ref="F10">PRODUCT(E10*_xlfn.SINGLE('人天单价 - Table 1'!A1:A2))</f>
        <v>2000</v>
      </c>
    </row>
    <row r="11" ht="62.25" customHeight="1">
      <c r="A11" s="26"/>
      <c r="B11" s="50"/>
      <c r="C11" t="s" s="33">
        <v>55</v>
      </c>
      <c r="D11" t="s" s="34">
        <v>56</v>
      </c>
      <c r="E11" s="35">
        <v>2</v>
      </c>
      <c r="F11" s="36" cm="1">
        <f t="array" ref="F11">PRODUCT(E11*_xlfn.SINGLE('人天单价 - Table 1'!A1:A2))</f>
        <v>2000</v>
      </c>
    </row>
    <row r="12" ht="48.2" customHeight="1">
      <c r="A12" t="s" s="26">
        <v>57</v>
      </c>
      <c r="B12" t="s" s="27">
        <v>58</v>
      </c>
      <c r="C12" t="s" s="28">
        <v>59</v>
      </c>
      <c r="D12" t="s" s="29">
        <v>60</v>
      </c>
      <c r="E12" s="30">
        <v>1</v>
      </c>
      <c r="F12" s="31" cm="1">
        <f t="array" ref="F12">PRODUCT(E12*_xlfn.SINGLE('人天单价 - Table 1'!A1:A2))</f>
        <v>1000</v>
      </c>
    </row>
    <row r="13" ht="48.4" customHeight="1">
      <c r="A13" s="26"/>
      <c r="B13" s="50"/>
      <c r="C13" t="s" s="33">
        <v>61</v>
      </c>
      <c r="D13" t="s" s="34">
        <v>62</v>
      </c>
      <c r="E13" s="35">
        <v>0</v>
      </c>
      <c r="F13" s="36" cm="1">
        <f t="array" ref="F13">PRODUCT(E13*_xlfn.SINGLE('人天单价 - Table 1'!A1:A2))</f>
        <v>0</v>
      </c>
    </row>
    <row r="14" ht="49.8" customHeight="1">
      <c r="A14" t="s" s="17">
        <v>17</v>
      </c>
      <c r="B14" s="18"/>
      <c r="C14" s="18"/>
      <c r="D14" s="19"/>
      <c r="E14" s="20" cm="1">
        <f t="array" ref="E14">SUM(E3:E13)</f>
        <v>13.5</v>
      </c>
      <c r="F14" s="21" cm="1">
        <f t="array" ref="F14">SUM(F3:F13)</f>
        <v>13500</v>
      </c>
    </row>
  </sheetData>
  <mergeCells count="12">
    <mergeCell ref="A1:F1"/>
    <mergeCell ref="A14:C14"/>
    <mergeCell ref="A12:A13"/>
    <mergeCell ref="A7:A8"/>
    <mergeCell ref="B3:B4"/>
    <mergeCell ref="B12:B13"/>
    <mergeCell ref="A10:A11"/>
    <mergeCell ref="B10:B11"/>
    <mergeCell ref="A3:A4"/>
    <mergeCell ref="B7:B8"/>
    <mergeCell ref="B5:B6"/>
    <mergeCell ref="A5:A6"/>
  </mergeCells>
  <conditionalFormatting sqref="B3:F5 C6:F6 B7:F13">
    <cfRule type="cellIs" dxfId="2" priority="1" operator="lessThan" stopIfTrue="1">
      <formula>#REF!</formula>
    </cfRule>
  </conditionalFormatting>
  <pageMargins left="0" right="0.25" top="0.25" bottom="0.25" header="0.25" footer="0.25"/>
  <pageSetup firstPageNumber="1" fitToHeight="1" fitToWidth="1" scale="100" useFirstPageNumber="0" orientation="portrait" pageOrder="downThenOver"/>
  <headerFooter>
    <oddFooter>&amp;C&amp;"Superclarendon Light,Regular"&amp;10&amp;K191919&amp;P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14"/>
  <sheetViews>
    <sheetView workbookViewId="0" showGridLines="0" defaultGridColor="1"/>
  </sheetViews>
  <sheetFormatPr defaultColWidth="21.6698" defaultRowHeight="21.65" customHeight="1" outlineLevelRow="0" outlineLevelCol="0"/>
  <cols>
    <col min="1" max="1" width="6.20312" style="51" customWidth="1"/>
    <col min="2" max="2" width="17.9062" style="51" customWidth="1"/>
    <col min="3" max="3" width="18.1562" style="51" customWidth="1"/>
    <col min="4" max="4" width="49.375" style="51" customWidth="1"/>
    <col min="5" max="5" width="14.8125" style="51" customWidth="1"/>
    <col min="6" max="6" width="13.6016" style="51" customWidth="1"/>
    <col min="7" max="16384" width="21.6797" style="51" customWidth="1"/>
  </cols>
  <sheetData>
    <row r="1" ht="39.65" customHeight="1">
      <c r="A1" t="s" s="7">
        <v>63</v>
      </c>
      <c r="B1" s="7"/>
      <c r="C1" s="7"/>
      <c r="D1" s="7"/>
      <c r="E1" s="7"/>
      <c r="F1" s="7"/>
    </row>
    <row r="2" ht="40" customHeight="1">
      <c r="A2" t="s" s="8">
        <v>7</v>
      </c>
      <c r="B2" t="s" s="9">
        <v>8</v>
      </c>
      <c r="C2" t="s" s="9">
        <v>9</v>
      </c>
      <c r="D2" t="s" s="9">
        <v>10</v>
      </c>
      <c r="E2" t="s" s="9">
        <v>11</v>
      </c>
      <c r="F2" t="s" s="10">
        <v>12</v>
      </c>
    </row>
    <row r="3" ht="65.7" customHeight="1">
      <c r="A3" t="s" s="11">
        <v>13</v>
      </c>
      <c r="B3" t="s" s="12">
        <v>33</v>
      </c>
      <c r="C3" t="s" s="23">
        <v>34</v>
      </c>
      <c r="D3" t="s" s="24">
        <v>35</v>
      </c>
      <c r="E3" s="25">
        <v>1</v>
      </c>
      <c r="F3" s="16" cm="1">
        <f t="array" ref="F3">PRODUCT(E3*_xlfn.SINGLE('人天单价 - Table 1'!A1:A2))</f>
        <v>1000</v>
      </c>
    </row>
    <row r="4" ht="60.2" customHeight="1">
      <c r="A4" s="26"/>
      <c r="B4" s="47"/>
      <c r="C4" t="s" s="28">
        <v>36</v>
      </c>
      <c r="D4" t="s" s="29">
        <v>37</v>
      </c>
      <c r="E4" s="30">
        <v>3</v>
      </c>
      <c r="F4" s="31" cm="1">
        <f t="array" ref="F4">PRODUCT(E4*_xlfn.SINGLE('人天单价 - Table 1'!A1:A2))</f>
        <v>3000</v>
      </c>
    </row>
    <row r="5" ht="40.15" customHeight="1">
      <c r="A5" t="s" s="26">
        <v>22</v>
      </c>
      <c r="B5" t="s" s="32">
        <v>38</v>
      </c>
      <c r="C5" t="s" s="33">
        <v>38</v>
      </c>
      <c r="D5" t="s" s="34">
        <v>39</v>
      </c>
      <c r="E5" s="35">
        <v>0.5</v>
      </c>
      <c r="F5" s="36" cm="1">
        <f t="array" ref="F5">PRODUCT(E5*_xlfn.SINGLE('人天单价 - Table 1'!A1:A2))</f>
        <v>500</v>
      </c>
    </row>
    <row r="6" ht="53.55" customHeight="1">
      <c r="A6" s="26"/>
      <c r="B6" s="49"/>
      <c r="C6" t="s" s="28">
        <v>40</v>
      </c>
      <c r="D6" t="s" s="29">
        <v>41</v>
      </c>
      <c r="E6" s="30">
        <v>1</v>
      </c>
      <c r="F6" s="31" cm="1">
        <f t="array" ref="F6">PRODUCT(E6*_xlfn.SINGLE('人天单价 - Table 1'!A1:A2))</f>
        <v>1000</v>
      </c>
    </row>
    <row r="7" ht="67.95" customHeight="1">
      <c r="A7" t="s" s="26">
        <v>42</v>
      </c>
      <c r="B7" t="s" s="32">
        <v>43</v>
      </c>
      <c r="C7" t="s" s="33">
        <v>44</v>
      </c>
      <c r="D7" t="s" s="34">
        <v>45</v>
      </c>
      <c r="E7" s="35">
        <v>1</v>
      </c>
      <c r="F7" s="36" cm="1">
        <f t="array" ref="F7">PRODUCT(E7*_xlfn.SINGLE('人天单价 - Table 1'!A1:A2))</f>
        <v>1000</v>
      </c>
    </row>
    <row r="8" ht="77.4" customHeight="1">
      <c r="A8" s="26"/>
      <c r="B8" s="47"/>
      <c r="C8" t="s" s="28">
        <v>46</v>
      </c>
      <c r="D8" t="s" s="29">
        <v>47</v>
      </c>
      <c r="E8" s="30">
        <v>1</v>
      </c>
      <c r="F8" s="31" cm="1">
        <f t="array" ref="F8">PRODUCT(E8*_xlfn.SINGLE('人天单价 - Table 1'!A1:A2))</f>
        <v>1000</v>
      </c>
    </row>
    <row r="9" ht="66.55" customHeight="1">
      <c r="A9" t="s" s="26">
        <v>48</v>
      </c>
      <c r="B9" t="s" s="32">
        <v>49</v>
      </c>
      <c r="C9" t="s" s="33">
        <v>15</v>
      </c>
      <c r="D9" t="s" s="34">
        <v>50</v>
      </c>
      <c r="E9" s="35">
        <v>0.5</v>
      </c>
      <c r="F9" s="36" cm="1">
        <f t="array" ref="F9">PRODUCT(E9*_xlfn.SINGLE('人天单价 - Table 1'!A1:A2))</f>
        <v>500</v>
      </c>
    </row>
    <row r="10" ht="63.85" customHeight="1">
      <c r="A10" t="s" s="26">
        <v>51</v>
      </c>
      <c r="B10" t="s" s="27">
        <v>52</v>
      </c>
      <c r="C10" t="s" s="28">
        <v>53</v>
      </c>
      <c r="D10" t="s" s="29">
        <v>54</v>
      </c>
      <c r="E10" s="30">
        <v>2</v>
      </c>
      <c r="F10" s="31" cm="1">
        <f t="array" ref="F10">PRODUCT(E10*_xlfn.SINGLE('人天单价 - Table 1'!A1:A2))</f>
        <v>2000</v>
      </c>
    </row>
    <row r="11" ht="62.25" customHeight="1">
      <c r="A11" s="26"/>
      <c r="B11" s="50"/>
      <c r="C11" t="s" s="33">
        <v>55</v>
      </c>
      <c r="D11" t="s" s="34">
        <v>56</v>
      </c>
      <c r="E11" s="35">
        <v>2</v>
      </c>
      <c r="F11" s="36" cm="1">
        <f t="array" ref="F11">PRODUCT(E11*_xlfn.SINGLE('人天单价 - Table 1'!A1:A2))</f>
        <v>2000</v>
      </c>
    </row>
    <row r="12" ht="48.2" customHeight="1">
      <c r="A12" t="s" s="26">
        <v>57</v>
      </c>
      <c r="B12" t="s" s="27">
        <v>58</v>
      </c>
      <c r="C12" t="s" s="28">
        <v>59</v>
      </c>
      <c r="D12" t="s" s="29">
        <v>65</v>
      </c>
      <c r="E12" s="30">
        <v>1</v>
      </c>
      <c r="F12" s="31" cm="1">
        <f t="array" ref="F12">PRODUCT(E12*_xlfn.SINGLE('人天单价 - Table 1'!A1:A2))</f>
        <v>1000</v>
      </c>
    </row>
    <row r="13" ht="48.4" customHeight="1">
      <c r="A13" s="26"/>
      <c r="B13" s="50"/>
      <c r="C13" t="s" s="33">
        <v>61</v>
      </c>
      <c r="D13" t="s" s="34">
        <v>62</v>
      </c>
      <c r="E13" s="35">
        <v>0</v>
      </c>
      <c r="F13" s="36" cm="1">
        <f t="array" ref="F13">PRODUCT(E13*_xlfn.SINGLE('人天单价 - Table 1'!A1:A2))</f>
        <v>0</v>
      </c>
    </row>
    <row r="14" ht="49.8" customHeight="1">
      <c r="A14" t="s" s="17">
        <v>17</v>
      </c>
      <c r="B14" s="18"/>
      <c r="C14" s="18"/>
      <c r="D14" s="19"/>
      <c r="E14" s="20" cm="1">
        <f t="array" ref="E14">SUM(E3:E13)</f>
        <v>13</v>
      </c>
      <c r="F14" s="21" cm="1">
        <f t="array" ref="F14">SUM(F3:F13)</f>
        <v>13000</v>
      </c>
    </row>
  </sheetData>
  <mergeCells count="12">
    <mergeCell ref="A1:F1"/>
    <mergeCell ref="A14:C14"/>
    <mergeCell ref="A12:A13"/>
    <mergeCell ref="A7:A8"/>
    <mergeCell ref="B3:B4"/>
    <mergeCell ref="B12:B13"/>
    <mergeCell ref="A5:A6"/>
    <mergeCell ref="A10:A11"/>
    <mergeCell ref="A3:A4"/>
    <mergeCell ref="B10:B11"/>
    <mergeCell ref="B5:B6"/>
    <mergeCell ref="B7:B8"/>
  </mergeCells>
  <conditionalFormatting sqref="B3:F5 C6:F6 B7:F13">
    <cfRule type="cellIs" dxfId="3" priority="1" operator="lessThan" stopIfTrue="1">
      <formula>#REF!</formula>
    </cfRule>
  </conditionalFormatting>
  <pageMargins left="0" right="0.25" top="0.25" bottom="0.25" header="0.25" footer="0.25"/>
  <pageSetup firstPageNumber="1" fitToHeight="1" fitToWidth="1" scale="100" useFirstPageNumber="0" orientation="portrait" pageOrder="downThenOver"/>
  <headerFooter>
    <oddFooter>&amp;C&amp;"Superclarendon Light,Regular"&amp;10&amp;K191919&amp;P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12"/>
  <sheetViews>
    <sheetView workbookViewId="0" showGridLines="0" defaultGridColor="1"/>
  </sheetViews>
  <sheetFormatPr defaultColWidth="21.6698" defaultRowHeight="21.65" customHeight="1" outlineLevelRow="0" outlineLevelCol="0"/>
  <cols>
    <col min="1" max="1" width="6.20312" style="52" customWidth="1"/>
    <col min="2" max="2" width="17.9062" style="52" customWidth="1"/>
    <col min="3" max="3" width="18.1562" style="52" customWidth="1"/>
    <col min="4" max="4" width="49.375" style="52" customWidth="1"/>
    <col min="5" max="5" width="14.8125" style="52" customWidth="1"/>
    <col min="6" max="6" width="13.6016" style="52" customWidth="1"/>
    <col min="7" max="16384" width="21.6797" style="52" customWidth="1"/>
  </cols>
  <sheetData>
    <row r="1" ht="39.65" customHeight="1">
      <c r="A1" t="s" s="7">
        <v>66</v>
      </c>
      <c r="B1" s="7"/>
      <c r="C1" s="7"/>
      <c r="D1" s="7"/>
      <c r="E1" s="7"/>
      <c r="F1" s="7"/>
    </row>
    <row r="2" ht="40" customHeight="1">
      <c r="A2" t="s" s="8">
        <v>7</v>
      </c>
      <c r="B2" t="s" s="9">
        <v>8</v>
      </c>
      <c r="C2" t="s" s="9">
        <v>9</v>
      </c>
      <c r="D2" t="s" s="9">
        <v>10</v>
      </c>
      <c r="E2" t="s" s="9">
        <v>11</v>
      </c>
      <c r="F2" t="s" s="10">
        <v>12</v>
      </c>
    </row>
    <row r="3" ht="45.85" customHeight="1">
      <c r="A3" t="s" s="11">
        <v>13</v>
      </c>
      <c r="B3" t="s" s="12">
        <v>33</v>
      </c>
      <c r="C3" t="s" s="23">
        <v>34</v>
      </c>
      <c r="D3" t="s" s="24">
        <v>35</v>
      </c>
      <c r="E3" s="25">
        <v>1</v>
      </c>
      <c r="F3" s="16" cm="1">
        <f t="array" ref="F3">PRODUCT(E3*_xlfn.SINGLE('人天单价 - Table 1'!A1:A2))</f>
        <v>1000</v>
      </c>
    </row>
    <row r="4" ht="60.2" customHeight="1">
      <c r="A4" s="26"/>
      <c r="B4" s="47"/>
      <c r="C4" t="s" s="28">
        <v>68</v>
      </c>
      <c r="D4" t="s" s="29">
        <v>69</v>
      </c>
      <c r="E4" s="30">
        <v>3</v>
      </c>
      <c r="F4" s="31" cm="1">
        <f t="array" ref="F4">PRODUCT(E4*_xlfn.SINGLE('人天单价 - Table 1'!A1:A2))</f>
        <v>3000</v>
      </c>
    </row>
    <row r="5" ht="40.15" customHeight="1">
      <c r="A5" s="26"/>
      <c r="B5" s="50"/>
      <c r="C5" t="s" s="33">
        <v>70</v>
      </c>
      <c r="D5" t="s" s="34">
        <v>71</v>
      </c>
      <c r="E5" s="35">
        <v>1</v>
      </c>
      <c r="F5" s="36" cm="1">
        <f t="array" ref="F5">PRODUCT(E5*_xlfn.SINGLE('人天单价 - Table 1'!A1:A2))</f>
        <v>1000</v>
      </c>
    </row>
    <row r="6" ht="53.55" customHeight="1">
      <c r="A6" t="s" s="26">
        <v>22</v>
      </c>
      <c r="B6" t="s" s="53">
        <v>72</v>
      </c>
      <c r="C6" t="s" s="28">
        <v>15</v>
      </c>
      <c r="D6" t="s" s="29">
        <v>73</v>
      </c>
      <c r="E6" s="30">
        <v>1</v>
      </c>
      <c r="F6" s="31" cm="1">
        <f t="array" ref="F6">PRODUCT(E6*_xlfn.SINGLE('人天单价 - Table 1'!A1:A2))</f>
        <v>1000</v>
      </c>
    </row>
    <row r="7" ht="67.95" customHeight="1">
      <c r="A7" t="s" s="26">
        <v>42</v>
      </c>
      <c r="B7" t="s" s="32">
        <v>44</v>
      </c>
      <c r="C7" t="s" s="33">
        <v>43</v>
      </c>
      <c r="D7" t="s" s="34">
        <v>74</v>
      </c>
      <c r="E7" s="35">
        <v>1</v>
      </c>
      <c r="F7" s="36" cm="1">
        <f t="array" ref="F7">PRODUCT(E7*_xlfn.SINGLE('人天单价 - Table 1'!A1:A2))</f>
        <v>1000</v>
      </c>
    </row>
    <row r="8" ht="55.55" customHeight="1">
      <c r="A8" t="s" s="26">
        <v>48</v>
      </c>
      <c r="B8" t="s" s="27">
        <v>52</v>
      </c>
      <c r="C8" t="s" s="28">
        <v>53</v>
      </c>
      <c r="D8" t="s" s="29">
        <v>75</v>
      </c>
      <c r="E8" s="30">
        <v>2</v>
      </c>
      <c r="F8" s="31" cm="1">
        <f t="array" ref="F8">PRODUCT(E8*_xlfn.SINGLE('人天单价 - Table 1'!A1:A2))</f>
        <v>2000</v>
      </c>
    </row>
    <row r="9" ht="55.15" customHeight="1">
      <c r="A9" s="26"/>
      <c r="B9" s="50"/>
      <c r="C9" t="s" s="33">
        <v>55</v>
      </c>
      <c r="D9" t="s" s="34">
        <v>76</v>
      </c>
      <c r="E9" s="35">
        <v>2</v>
      </c>
      <c r="F9" s="36" cm="1">
        <f t="array" ref="F9">PRODUCT(E9*_xlfn.SINGLE('人天单价 - Table 1'!A1:A2))</f>
        <v>2000</v>
      </c>
    </row>
    <row r="10" ht="52.05" customHeight="1">
      <c r="A10" t="s" s="26">
        <v>51</v>
      </c>
      <c r="B10" t="s" s="27">
        <v>58</v>
      </c>
      <c r="C10" t="s" s="28">
        <v>77</v>
      </c>
      <c r="D10" t="s" s="29">
        <v>78</v>
      </c>
      <c r="E10" s="30">
        <v>1</v>
      </c>
      <c r="F10" s="31" cm="1">
        <f t="array" ref="F10">PRODUCT(E10*_xlfn.SINGLE('人天单价 - Table 1'!A1:A2))</f>
        <v>1000</v>
      </c>
    </row>
    <row r="11" ht="50.75" customHeight="1">
      <c r="A11" s="26"/>
      <c r="B11" s="50"/>
      <c r="C11" t="s" s="33">
        <v>61</v>
      </c>
      <c r="D11" t="s" s="34">
        <v>62</v>
      </c>
      <c r="E11" s="35">
        <v>0</v>
      </c>
      <c r="F11" s="36" cm="1">
        <f t="array" ref="F11">PRODUCT(E11*_xlfn.SINGLE('人天单价 - Table 1'!A1:A2))</f>
        <v>0</v>
      </c>
    </row>
    <row r="12" ht="49.8" customHeight="1">
      <c r="A12" t="s" s="17">
        <v>17</v>
      </c>
      <c r="B12" s="18"/>
      <c r="C12" s="18"/>
      <c r="D12" s="19"/>
      <c r="E12" s="20" cm="1">
        <f t="array" ref="E12">SUM(E3:E11)</f>
        <v>12</v>
      </c>
      <c r="F12" s="21" cm="1">
        <f t="array" ref="F12">SUM(F3:F11)</f>
        <v>12000</v>
      </c>
    </row>
  </sheetData>
  <mergeCells count="8">
    <mergeCell ref="A1:F1"/>
    <mergeCell ref="A12:C12"/>
    <mergeCell ref="A10:A11"/>
    <mergeCell ref="B10:B11"/>
    <mergeCell ref="A3:A5"/>
    <mergeCell ref="A8:A9"/>
    <mergeCell ref="B8:B9"/>
    <mergeCell ref="B3:B5"/>
  </mergeCells>
  <conditionalFormatting sqref="B3:F5 C6:F6 B7:F11">
    <cfRule type="cellIs" dxfId="4" priority="1" operator="lessThan" stopIfTrue="1">
      <formula>#REF!</formula>
    </cfRule>
  </conditionalFormatting>
  <pageMargins left="0" right="0.25" top="0.25" bottom="0.25" header="0.25" footer="0.25"/>
  <pageSetup firstPageNumber="1" fitToHeight="1" fitToWidth="1" scale="100" useFirstPageNumber="0" orientation="portrait" pageOrder="downThenOver"/>
  <headerFooter>
    <oddFooter>&amp;C&amp;"Superclarendon Light,Regular"&amp;10&amp;K191919&amp;P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5"/>
  <sheetViews>
    <sheetView workbookViewId="0" showGridLines="0" defaultGridColor="1"/>
  </sheetViews>
  <sheetFormatPr defaultColWidth="21.6698" defaultRowHeight="21.65" customHeight="1" outlineLevelRow="0" outlineLevelCol="0"/>
  <cols>
    <col min="1" max="6" width="19.9609" style="54" customWidth="1"/>
    <col min="7" max="16384" width="21.6797" style="54" customWidth="1"/>
  </cols>
  <sheetData>
    <row r="1" ht="52.15" customHeight="1">
      <c r="A1" t="s" s="55">
        <v>81</v>
      </c>
      <c r="B1" s="56"/>
      <c r="C1" s="56"/>
      <c r="D1" s="56"/>
      <c r="E1" s="56"/>
      <c r="F1" s="57"/>
    </row>
    <row r="2" ht="49.45" customHeight="1">
      <c r="A2" t="s" s="58">
        <v>82</v>
      </c>
      <c r="B2" t="s" s="59">
        <v>14</v>
      </c>
      <c r="C2" t="s" s="60">
        <v>26</v>
      </c>
      <c r="D2" t="s" s="60">
        <v>83</v>
      </c>
      <c r="E2" t="s" s="60">
        <v>84</v>
      </c>
      <c r="F2" t="s" s="61">
        <v>85</v>
      </c>
    </row>
    <row r="3" ht="53.55" customHeight="1">
      <c r="A3" t="s" s="62">
        <v>86</v>
      </c>
      <c r="B3" s="63" cm="1">
        <f t="array" ref="B3">'报价表 - 1、 需求分析 | Demand analysis'!E4</f>
        <v>2</v>
      </c>
      <c r="C3" s="64" cm="1">
        <f t="array" ref="C3">'报价表 - 2、界面 &amp; 交互设计 | UI &amp; UX Des'!E7</f>
        <v>9</v>
      </c>
      <c r="D3" s="65" cm="1">
        <f t="array" ref="D3">'报价表 - 3、安卓端开发 | Android Applica'!E14</f>
        <v>13.5</v>
      </c>
      <c r="E3" s="65" cm="1">
        <f t="array" ref="E3">'报价表 - 4、苹果端开发 | iOS Application'!E14</f>
        <v>13</v>
      </c>
      <c r="F3" s="66" cm="1">
        <f t="array" ref="F3">'报价表 - 5、PC内容管理系统 | CMS'!E12</f>
        <v>12</v>
      </c>
    </row>
    <row r="4" ht="67.95" customHeight="1">
      <c r="A4" t="s" s="67">
        <v>87</v>
      </c>
      <c r="B4" s="68" cm="1">
        <f t="array" ref="B4">'报价表 - 1、 需求分析 | Demand analysis'!F4</f>
        <v>2000</v>
      </c>
      <c r="C4" s="69" cm="1">
        <f t="array" ref="C4">'报价表 - 2、界面 &amp; 交互设计 | UI &amp; UX Des'!F7</f>
        <v>9000</v>
      </c>
      <c r="D4" s="69" cm="1">
        <f t="array" ref="D4">'报价表 - 3、安卓端开发 | Android Applica'!F14</f>
        <v>13500</v>
      </c>
      <c r="E4" s="69" cm="1">
        <f t="array" ref="E4">'报价表 - 4、苹果端开发 | iOS Application'!F14</f>
        <v>13000</v>
      </c>
      <c r="F4" s="70" cm="1">
        <f t="array" ref="F4">'报价表 - 5、PC内容管理系统 | CMS'!F12</f>
        <v>12000</v>
      </c>
    </row>
    <row r="5" ht="49.8" customHeight="1">
      <c r="A5" t="s" s="17">
        <v>88</v>
      </c>
      <c r="B5" s="18"/>
      <c r="C5" s="71" cm="1">
        <f t="array" ref="C5">SUM(B3:F3)</f>
        <v>49.5</v>
      </c>
      <c r="D5" t="s" s="17">
        <v>89</v>
      </c>
      <c r="E5" s="18"/>
      <c r="F5" s="72" cm="1">
        <f t="array" ref="F5">SUM(B4:F4)</f>
        <v>49500</v>
      </c>
    </row>
  </sheetData>
  <mergeCells count="3">
    <mergeCell ref="A1:F1"/>
    <mergeCell ref="D5:E5"/>
    <mergeCell ref="A5:B5"/>
  </mergeCells>
  <conditionalFormatting sqref="C3:F3 B4:F4">
    <cfRule type="cellIs" dxfId="5" priority="1" operator="lessThan" stopIfTrue="1">
      <formula>#REF!</formula>
    </cfRule>
  </conditionalFormatting>
  <pageMargins left="0" right="0.25" top="0.25" bottom="0.25" header="0.25" footer="0.25"/>
  <pageSetup firstPageNumber="1" fitToHeight="1" fitToWidth="1" scale="100" useFirstPageNumber="0" orientation="portrait" pageOrder="downThenOver"/>
  <headerFooter>
    <oddFooter>&amp;C&amp;"Superclarendon Light,Regular"&amp;10&amp;K191919&amp;P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7"/>
  <sheetViews>
    <sheetView workbookViewId="0" showGridLines="0" defaultGridColor="1"/>
  </sheetViews>
  <sheetFormatPr defaultColWidth="21.6698" defaultRowHeight="21.65" customHeight="1" outlineLevelRow="0" outlineLevelCol="0"/>
  <cols>
    <col min="1" max="6" width="19.9609" style="73" customWidth="1"/>
    <col min="7" max="16384" width="21.6797" style="73" customWidth="1"/>
  </cols>
  <sheetData>
    <row r="1" ht="52.15" customHeight="1">
      <c r="A1" t="s" s="55">
        <v>92</v>
      </c>
      <c r="B1" s="56"/>
      <c r="C1" s="56"/>
      <c r="D1" s="56"/>
      <c r="E1" s="56"/>
      <c r="F1" s="57"/>
    </row>
    <row r="2" ht="42.9" customHeight="1">
      <c r="A2" t="s" s="74">
        <v>93</v>
      </c>
      <c r="B2" t="s" s="59">
        <v>94</v>
      </c>
      <c r="C2" s="75"/>
      <c r="D2" s="75"/>
      <c r="E2" s="75"/>
      <c r="F2" s="76"/>
    </row>
    <row r="3" ht="40" customHeight="1">
      <c r="A3" t="s" s="62">
        <v>95</v>
      </c>
      <c r="B3" t="s" s="77">
        <v>96</v>
      </c>
      <c r="C3" s="78"/>
      <c r="D3" s="78"/>
      <c r="E3" s="78"/>
      <c r="F3" s="79"/>
    </row>
    <row r="4" ht="51.8" customHeight="1">
      <c r="A4" t="s" s="67">
        <v>97</v>
      </c>
      <c r="B4" t="s" s="80">
        <v>98</v>
      </c>
      <c r="C4" s="81"/>
      <c r="D4" s="81"/>
      <c r="E4" s="81"/>
      <c r="F4" s="82"/>
    </row>
    <row r="5" ht="45.65" customHeight="1">
      <c r="A5" t="s" s="67">
        <v>99</v>
      </c>
      <c r="B5" t="s" s="83">
        <v>100</v>
      </c>
      <c r="C5" s="81"/>
      <c r="D5" s="81"/>
      <c r="E5" s="81"/>
      <c r="F5" s="82"/>
    </row>
    <row r="6" ht="46.15" customHeight="1">
      <c r="A6" t="s" s="67">
        <v>101</v>
      </c>
      <c r="B6" t="s" s="83">
        <v>102</v>
      </c>
      <c r="C6" s="81"/>
      <c r="D6" s="81"/>
      <c r="E6" s="81"/>
      <c r="F6" s="82"/>
    </row>
    <row r="7" ht="49.8" customHeight="1">
      <c r="A7" t="s" s="17">
        <v>103</v>
      </c>
      <c r="B7" s="18"/>
      <c r="C7" s="84"/>
      <c r="D7" s="85"/>
      <c r="E7" s="18"/>
      <c r="F7" s="86"/>
    </row>
  </sheetData>
  <mergeCells count="7">
    <mergeCell ref="A1:F1"/>
    <mergeCell ref="B2:F2"/>
    <mergeCell ref="B3:F3"/>
    <mergeCell ref="B4:F4"/>
    <mergeCell ref="B6:F6"/>
    <mergeCell ref="B5:F5"/>
    <mergeCell ref="A7:F7"/>
  </mergeCells>
  <conditionalFormatting sqref="B4:B6">
    <cfRule type="cellIs" dxfId="6" priority="1" operator="lessThan" stopIfTrue="1">
      <formula>#REF!</formula>
    </cfRule>
  </conditionalFormatting>
  <pageMargins left="0" right="0.25" top="0.25" bottom="0.25" header="0.25" footer="0.25"/>
  <pageSetup firstPageNumber="1" fitToHeight="1" fitToWidth="1" scale="100" useFirstPageNumber="0" orientation="portrait" pageOrder="downThenOver"/>
  <headerFooter>
    <oddFooter>&amp;C&amp;"Superclarendon Light,Regular"&amp;10&amp;K191919&amp;P</oddFooter>
  </headerFooter>
</worksheet>
</file>

<file path=xl/worksheets/sheet9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workbookViewId="0" showGridLines="0" defaultGridColor="1"/>
  </sheetViews>
  <sheetFormatPr defaultColWidth="10" defaultRowHeight="13" customHeight="1" outlineLevelRow="0" outlineLevelCol="0"/>
  <cols>
    <col min="1" max="16384" width="10" customWidth="1"/>
  </cols>
  <sheetData/>
  <pageMargins left="0" right="0.25" top="0.25" bottom="0.25" header="0.25" footer="0.25"/>
  <pageSetup firstPageNumber="1" fitToHeight="1" fitToWidth="1" scale="100" useFirstPageNumber="0" orientation="portrait" pageOrder="downThenOver"/>
  <headerFooter>
    <oddFooter>&amp;C&amp;"Superclarendon Light,Regular"&amp;10&amp;K191919&amp;P</oddFooter>
  </headerFooter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2"/>
  <sheetViews>
    <sheetView workbookViewId="0" showGridLines="0" defaultGridColor="1">
      <pane topLeftCell="A2" xSplit="0" ySplit="1" activePane="bottomLeft" state="frozen"/>
    </sheetView>
  </sheetViews>
  <sheetFormatPr defaultColWidth="33.3839" defaultRowHeight="21.65" customHeight="1" outlineLevelRow="0" outlineLevelCol="0"/>
  <cols>
    <col min="1" max="1" width="33.3906" style="87" customWidth="1"/>
    <col min="2" max="16384" width="33.3906" style="87" customWidth="1"/>
  </cols>
  <sheetData>
    <row r="1" ht="47.6" customHeight="1">
      <c r="A1" t="s" s="88">
        <v>106</v>
      </c>
    </row>
    <row r="2" ht="44.35" customHeight="1">
      <c r="A2" s="89">
        <v>1000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&amp;C&amp;"Superclarendon Light,Regular"&amp;10&amp;K191919&amp;P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