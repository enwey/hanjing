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鼾静健康项目需求报价_新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<sst xmlns="http://schemas.openxmlformats.org/spreadsheetml/2006/main" count="270" uniqueCount="222">
  <si>
    <t>序号</t>
  </si>
  <si>
    <t>功能 | Function</t>
  </si>
  <si>
    <t>子项 | Subitem</t>
  </si>
  <si>
    <t>描述 | Describe</t>
  </si>
  <si>
    <t>工时评估</t>
  </si>
  <si>
    <t>费用评估</t>
  </si>
  <si>
    <t>需求分析</t>
  </si>
  <si>
    <t>|</t>
  </si>
  <si>
    <t>1. 沟通了解项目需求，明确业务目标
2. 整理需求，设计功能逻辑结构和数据流程
3. 构思设计方案，评估技术实现可行性和开发周期
4. 输出需求规格说明书和技术方案文档</t>
  </si>
  <si>
    <t>费用小计  Subtotal</t>
  </si>
  <si>
    <t>Logo设计</t>
  </si>
  <si>
    <t>设计诊所品牌Logo，由客户提供设计方向和品牌调性</t>
  </si>
  <si>
    <t>原型设计</t>
  </si>
  <si>
    <t>根据需求设计所有前端页面原型
原型实现基本的页面跳转和交互逻辑
输出交互原型文档</t>
  </si>
  <si>
    <t>UI / UE设计</t>
  </si>
  <si>
    <t>微信小程序</t>
  </si>
  <si>
    <t>1. 视觉风格设计，制定设计规范
2. 小程序首页、预约、评估、商城等核心页面设计
3. 组件库设计
4. 设计方案需兼容不同尺寸的手机屏幕</t>
  </si>
  <si>
    <t>管理后台</t>
  </si>
  <si>
    <t>1. 后台管理系统视觉风格设计
2. 数据看板、表格、表单等组件设计
3. 响应式布局设计，适配不同屏幕尺寸</t>
  </si>
  <si>
    <t>小程序端｜MiniProgram</t>
  </si>
  <si>
    <t>基础功能</t>
  </si>
  <si>
    <t>框架搭建</t>
  </si>
  <si>
    <t>搭建微信小程序项目框架，配置开发环境和构建工具</t>
  </si>
  <si>
    <t>API对接</t>
  </si>
  <si>
    <t>通过网络获取后台服务器数据，封装API接口和数据模型</t>
  </si>
  <si>
    <t>首页</t>
  </si>
  <si>
    <t>小程序首页综合展示，整合预约入口、评估入口、商城入口、直播入口等核心功能</t>
  </si>
  <si>
    <t>身份认证</t>
  </si>
  <si>
    <t>登录页</t>
  </si>
  <si>
    <t>微信授权快捷登录页面，获取用户OpenID并创建账户</t>
  </si>
  <si>
    <t>预约挂号</t>
  </si>
  <si>
    <t>｜</t>
  </si>
  <si>
    <t>1. 预约挂号主入口页面，展示预约流程导航
2. 服务门店列表展示，支持定位排序与距离计算
3. 医生信息展示，包含职称、专科方向、经验、评分等
4. 医生排班号源时段选择，展示可预约时段
5. 确认预约信息，选择就诊患者，提交预约申请
6. 预约成功页面，展示预约号和就诊提醒
7. 查看预约详情及状态变更记录
8. 预约改约，重新选择就诊时间</t>
  </si>
  <si>
    <t>睡眠评估</t>
  </si>
  <si>
    <t>评估首页</t>
  </si>
  <si>
    <t>睡眠评估入口及类型选择</t>
  </si>
  <si>
    <t>ESS问卷</t>
  </si>
  <si>
    <t>ESS嗜睡自测量表答题页面，共8道题目</t>
  </si>
  <si>
    <t>鼾声录音(不实现)</t>
  </si>
  <si>
    <t>AI鼾声录音分析上传页面，支持录音和上传</t>
  </si>
  <si>
    <t>评估结果</t>
  </si>
  <si>
    <t>ESS评估结果展示页面，显示得分和风险等级</t>
  </si>
  <si>
    <t>鼾声结果(不实现)</t>
  </si>
  <si>
    <t>AI鼾声分析结果展示页面，显示分贝、暂停事件等</t>
  </si>
  <si>
    <t>治疗追踪</t>
  </si>
  <si>
    <t>治疗首页</t>
  </si>
  <si>
    <t>阻鼾器治疗追踪主页面，展示治疗进度概览及治疗时间线动态事件展示，记录治疗关键节点</t>
  </si>
  <si>
    <t>睡眠趋势</t>
  </si>
  <si>
    <t>睡眠趋势图表展示，使用折线图展示佩戴时长变化</t>
  </si>
  <si>
    <t>睡眠报告</t>
  </si>
  <si>
    <t>周期性睡眠健康报告，含同类比对与医嘱总结</t>
  </si>
  <si>
    <t>调整详情</t>
  </si>
  <si>
    <t>阻鼾器参数调整记录详情，展示调整历史</t>
  </si>
  <si>
    <t>医生建议</t>
  </si>
  <si>
    <t>医生医嘱及健康指引展示</t>
  </si>
  <si>
    <t>社区首页</t>
  </si>
  <si>
    <t>1. 社区论坛帖子列表，支持最新/热门/专家贴筛选
2. 帖子正文及评论回复区，支持点赞评论
3. 发表阻鼾/打鼾改善日常讨论帖子，支持图片上传</t>
  </si>
  <si>
    <t>商城购物</t>
  </si>
  <si>
    <t>商品列表</t>
  </si>
  <si>
    <t>商城商品列表展示，支持分类筛选和搜索</t>
  </si>
  <si>
    <t>商品详情</t>
  </si>
  <si>
    <t>商品规格、价格、详情信息展示，支持加入购物车</t>
  </si>
  <si>
    <t>订单列表</t>
  </si>
  <si>
    <t>个人历史商城订单列表，支持状态筛选</t>
  </si>
  <si>
    <t>订单详情</t>
  </si>
  <si>
    <t>订单明细、价格组成、物流信息展示</t>
  </si>
  <si>
    <t>分销中心</t>
  </si>
  <si>
    <t>分销首页</t>
  </si>
  <si>
    <t>推广员分销资格及中心入口，展示佣金概览</t>
  </si>
  <si>
    <t>邀请海报</t>
  </si>
  <si>
    <t>专属裂变码海报生成及分享功能</t>
  </si>
  <si>
    <t>佣金明细</t>
  </si>
  <si>
    <t>分销提成收益明细查询，按时间筛选</t>
  </si>
  <si>
    <t>团队管理</t>
  </si>
  <si>
    <t>推广团下线成员结构展示，显示一级/二级成员</t>
  </si>
  <si>
    <t>分销商品</t>
  </si>
  <si>
    <t>参与分销的商品列表，显示佣金比例</t>
  </si>
  <si>
    <t>分销规则</t>
  </si>
  <si>
    <t>分销规则说明页面，展示等级和佣金比例</t>
  </si>
  <si>
    <t>提现申请</t>
  </si>
  <si>
    <t>佣金提现申请，支持微信零钱和银行卡</t>
  </si>
  <si>
    <t>提现记录</t>
  </si>
  <si>
    <t>提现打款历史记录查询</t>
  </si>
  <si>
    <t>直播社区</t>
  </si>
  <si>
    <t>直播列表(不实现)</t>
  </si>
  <si>
    <t>科普/义诊直播间列表，含预告及精彩回放</t>
  </si>
  <si>
    <t>直播回放(不实现)</t>
  </si>
  <si>
    <t>直播视频回放点播页面</t>
  </si>
  <si>
    <t>个人中心</t>
  </si>
  <si>
    <t>个人中心首页</t>
  </si>
  <si>
    <t>用户个人信息展示，功能入口聚合</t>
  </si>
  <si>
    <t>家庭成员管理</t>
  </si>
  <si>
    <t>1. 就诊患者/家庭成员列表及增删改操作
2. 绑定新的就诊家庭成员表单</t>
  </si>
  <si>
    <t>设备管理</t>
  </si>
  <si>
    <t>阻鼾器设备管理首页，展示设备状态</t>
  </si>
  <si>
    <t>佩戴数据</t>
  </si>
  <si>
    <t>设备佩戴时长数据展示，统计分析</t>
  </si>
  <si>
    <t>设备维护</t>
  </si>
  <si>
    <t>设备维护保养记录，提醒维护时间</t>
  </si>
  <si>
    <t>意见反馈</t>
  </si>
  <si>
    <t>设备使用意见反馈表单</t>
  </si>
  <si>
    <t>病历管理</t>
  </si>
  <si>
    <t>个人电子病历查看，就诊历史记录</t>
  </si>
  <si>
    <t>会员权益</t>
  </si>
  <si>
    <t>会员等级、积分、优惠权益展示</t>
  </si>
  <si>
    <t>系统通知</t>
  </si>
  <si>
    <t>系统通知与订阅消息列表，支持标记已读</t>
  </si>
  <si>
    <t>在线客服</t>
  </si>
  <si>
    <t>在线客服咨询入口，跳转客服对话</t>
  </si>
  <si>
    <t>设置</t>
  </si>
  <si>
    <t>账户设置主页面，包含各项设置入口</t>
  </si>
  <si>
    <t>账号安全</t>
  </si>
  <si>
    <t>账号安全设置，密码修改、绑定手机号等</t>
  </si>
  <si>
    <t>个人信息</t>
  </si>
  <si>
    <t>用户基本信息编辑，昵称、头像、性别等</t>
  </si>
  <si>
    <t>测试联调</t>
  </si>
  <si>
    <t>项目测试</t>
  </si>
  <si>
    <t>单元测试，集成测试，测试不同设备兼容性，修复测试发现的问题</t>
  </si>
  <si>
    <t>上线支持</t>
  </si>
  <si>
    <t>发布与上线</t>
  </si>
  <si>
    <t>部署到服务器，配置域名和SSL证书</t>
  </si>
  <si>
    <t>维护</t>
  </si>
  <si>
    <t>提供三个月的免费维护期，不包括优化和非合同需求bug</t>
  </si>
  <si>
    <t>PC内容管理系统 | CMS</t>
  </si>
  <si>
    <t>账号密码与短信验证码双登录方式</t>
  </si>
  <si>
    <t>数据看板</t>
  </si>
  <si>
    <t>首页核心运营KPI看板、多维度时段过滤、统计图表</t>
  </si>
  <si>
    <t>预约管理</t>
  </si>
  <si>
    <t>预约列表</t>
  </si>
  <si>
    <t>全店预约挂号列表、门店/状态过滤</t>
  </si>
  <si>
    <t>新建预约</t>
  </si>
  <si>
    <t>前台手动挂号、查询患者或快捷建档表单</t>
  </si>
  <si>
    <t>预约详情</t>
  </si>
  <si>
    <t>到诊一键签到及病情主诉展示</t>
  </si>
  <si>
    <t>收银结账</t>
  </si>
  <si>
    <t>就诊结算、费用收取</t>
  </si>
  <si>
    <t>诊疗录入</t>
  </si>
  <si>
    <t>门诊电子病历录入与管理</t>
  </si>
  <si>
    <t>接诊工作台</t>
  </si>
  <si>
    <t>实时就诊叫号、候诊管理</t>
  </si>
  <si>
    <t>排队分诊</t>
  </si>
  <si>
    <t>预约排队管理、叫号队列</t>
  </si>
  <si>
    <t>患者管理</t>
  </si>
  <si>
    <t>患者列表</t>
  </si>
  <si>
    <t>患者档案列表、筛选、搜索</t>
  </si>
  <si>
    <t>患者详情</t>
  </si>
  <si>
    <t>患者设备佩戴时长及AHI指标趋势图表、病历时间线、就诊历史</t>
  </si>
  <si>
    <t>随访任务</t>
  </si>
  <si>
    <t>患者随访任务管理</t>
  </si>
  <si>
    <t>医生管理</t>
  </si>
  <si>
    <t>医生列表</t>
  </si>
  <si>
    <t>医生档案管理与启用状态设置</t>
  </si>
  <si>
    <t>排班管理</t>
  </si>
  <si>
    <t>周排班周历网格展示与弹窗编辑</t>
  </si>
  <si>
    <t>门店管理</t>
  </si>
  <si>
    <t>门店列表</t>
  </si>
  <si>
    <t>门店信息增删改查</t>
  </si>
  <si>
    <t>门店数据报表</t>
  </si>
  <si>
    <t>门店营收排行与接诊负荷统计报表</t>
  </si>
  <si>
    <t>订单管理</t>
  </si>
  <si>
    <t>全网商城购物订单明细列表</t>
  </si>
  <si>
    <t>订单明细、价格组成、分销佣金及物流录入弹窗</t>
  </si>
  <si>
    <t>退款审核</t>
  </si>
  <si>
    <t>审核用户商城退款申请</t>
  </si>
  <si>
    <t>分销总览</t>
  </si>
  <si>
    <t>分销商管理总览列表</t>
  </si>
  <si>
    <t>推广员管理</t>
  </si>
  <si>
    <t>推广员列表</t>
  </si>
  <si>
    <t>冻结或解封违规分销人员资格</t>
  </si>
  <si>
    <t>推广员详情</t>
  </si>
  <si>
    <t>单个分销商详细信息及业绩</t>
  </si>
  <si>
    <t>提现审核</t>
  </si>
  <si>
    <t>分销商提现单据列表、弹窗审核通过/驳回</t>
  </si>
  <si>
    <t>推广商品管理</t>
  </si>
  <si>
    <t>参与分销的商品配置</t>
  </si>
  <si>
    <t>科普文章</t>
  </si>
  <si>
    <t>社区列表</t>
  </si>
  <si>
    <t>用户社区发帖列表、审核状态管理</t>
  </si>
  <si>
    <t>编辑文章</t>
  </si>
  <si>
    <t>帖子编辑、审核处理</t>
  </si>
  <si>
    <t>新建文章</t>
  </si>
  <si>
    <t>新建科普文章表单</t>
  </si>
  <si>
    <t>轮播图管理</t>
  </si>
  <si>
    <t>首页活动轮播Banner图片广告位资源管理</t>
  </si>
  <si>
    <t>系统设置</t>
  </si>
  <si>
    <t>系统设置首页</t>
  </si>
  <si>
    <t>系统基础配置入口</t>
  </si>
  <si>
    <t>管理员账号</t>
  </si>
  <si>
    <t>添加、修改及注销后台管理员账号</t>
  </si>
  <si>
    <t>权限管理</t>
  </si>
  <si>
    <t>角色列表</t>
  </si>
  <si>
    <t>系统角色及权限配置矩阵</t>
  </si>
  <si>
    <t>角色权限编辑</t>
  </si>
  <si>
    <t>角色权限资源配置与编辑</t>
  </si>
  <si>
    <t>添加角色</t>
  </si>
  <si>
    <t>新建系统角色表单</t>
  </si>
  <si>
    <t>操作日志</t>
  </si>
  <si>
    <t>系统全局管理员审计追踪日志表</t>
  </si>
  <si>
    <t>单元测试，集成测试，测试不同浏览器兼容性，修复测试发现的问题</t>
  </si>
  <si>
    <t>发布</t>
  </si>
  <si>
    <t>部署到阿里云服务器，配置Nginx和SSL证书</t>
  </si>
  <si>
    <t>开发总计
Develop expenses</t>
  </si>
  <si>
    <t>评估项</t>
  </si>
  <si>
    <t>微信小程序端</t>
  </si>
  <si>
    <t>管理后台端</t>
  </si>
  <si>
    <t>所需人天</t>
  </si>
  <si>
    <t>费用小计</t>
  </si>
  <si>
    <t>总开发人天
Total Manday</t>
  </si>
  <si>
    <t>费用总计
Total Expenses</t>
  </si>
  <si>
    <t>折扣后总计
Discounted Price</t>
  </si>
  <si>
    <t>售后服务
After-sale service</t>
  </si>
  <si>
    <t>服务项 | Item</t>
  </si>
  <si>
    <t>服务内容 | Service content</t>
  </si>
  <si>
    <t>【日常维护】</t>
  </si>
  <si>
    <t>定时检查系统程序漏洞；设置安全防范程序，防范黑客入侵；定时备份数据；保证服务器日常稳定运行。</t>
  </si>
  <si>
    <t>【故障维护】</t>
  </si>
  <si>
    <t>当项目发生重大故障时，上班与非上班时间，我司都会立即派人进行处理，争取最快速度修复故障。如果是普通故障，影响不大，上班时间会进行处理，通常半天到一天内可以解决</t>
  </si>
  <si>
    <t>【BUG修复】</t>
  </si>
  <si>
    <t>只包括合同功能需求内的一些问题，不包括功能的优化和新加的功能需求</t>
  </si>
  <si>
    <t>【咨询服务】</t>
  </si>
  <si>
    <t>在贵司运营期间遇到的关于该项目方面的问题，都可以向我司电话或网络咨询，我司提供专业人员解答贵司问题。</t>
  </si>
  <si>
    <t>PS：如果免费维护期过后，如贵司需要我司继续提供售后服务，需要另外收费。维护费用为：项目总报价的10% ~ 20%/每年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</si>
</sst>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7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7" fontId="0" fillId="0" borderId="7" xfId="0" applyNumberFormat="1" applyBorder="1" applyAlignment="1">
      <alignment horizontal="center" vertical="center"/>
    </xf>
    <xf numFmtId="7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7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tabSelected="1" zoomScaleSheetLayoutView="60" topLeftCell="A101" workbookViewId="0">
      <selection activeCell="D106" sqref="D106"/>
    </sheetView>
  </sheetViews>
  <sheetFormatPr defaultColWidth="10.3846153846154" defaultRowHeight="16.8" outlineLevelCol="5"/>
  <cols>
    <col min="1" max="1" width="19.5384615384615" style="1" customWidth="1"/>
    <col min="2" max="2" width="22.75" style="1" customWidth="1"/>
    <col min="3" max="3" width="22.7596153846154" style="1" customWidth="1"/>
    <col min="4" max="4" width="79.9615384615385" customWidth="1"/>
    <col min="5" max="5" width="15.5480769230769" style="1" customWidth="1"/>
    <col min="6" max="6" width="16.0192307692308" style="1" customWidth="1"/>
  </cols>
  <sheetData>
    <row r="1" ht="36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6" customHeight="1" spans="1:6">
      <c r="A2" s="2">
        <v>1</v>
      </c>
      <c r="B2" s="2" t="s">
        <v>6</v>
      </c>
      <c r="C2" s="2" t="s">
        <v>7</v>
      </c>
      <c r="D2" s="3" t="s">
        <v>8</v>
      </c>
      <c r="E2" s="2">
        <v>1</v>
      </c>
      <c r="F2" s="4">
        <f>E2*500</f>
        <v>500</v>
      </c>
    </row>
    <row r="3" ht="36" customHeight="1" spans="1:6">
      <c r="A3" s="5" t="s">
        <v>9</v>
      </c>
      <c r="B3" s="5"/>
      <c r="C3" s="5"/>
      <c r="D3" s="5"/>
      <c r="E3" s="5">
        <f>SUM(E2)</f>
        <v>1</v>
      </c>
      <c r="F3" s="6">
        <f>SUM(F2)</f>
        <v>500</v>
      </c>
    </row>
    <row r="4" ht="36" customHeight="1" spans="1:6">
      <c r="A4" s="7"/>
      <c r="B4" s="7"/>
      <c r="C4" s="7"/>
      <c r="D4" s="8"/>
      <c r="E4" s="7"/>
      <c r="F4" s="7"/>
    </row>
    <row r="5" ht="36" customHeight="1" spans="1:6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</row>
    <row r="6" ht="36" customHeight="1" spans="1:6">
      <c r="A6" s="2">
        <v>1</v>
      </c>
      <c r="B6" s="2" t="s">
        <v>10</v>
      </c>
      <c r="C6" s="2" t="s">
        <v>7</v>
      </c>
      <c r="D6" s="10" t="s">
        <v>11</v>
      </c>
      <c r="E6" s="2">
        <v>0.5</v>
      </c>
      <c r="F6" s="4">
        <f>E6*500</f>
        <v>250</v>
      </c>
    </row>
    <row r="7" ht="65" customHeight="1" spans="1:6">
      <c r="A7" s="2">
        <v>2</v>
      </c>
      <c r="B7" s="2" t="s">
        <v>12</v>
      </c>
      <c r="C7" s="2" t="s">
        <v>7</v>
      </c>
      <c r="D7" s="3" t="s">
        <v>13</v>
      </c>
      <c r="E7" s="2">
        <v>1</v>
      </c>
      <c r="F7" s="4">
        <f>E7*500</f>
        <v>500</v>
      </c>
    </row>
    <row r="8" ht="85" customHeight="1" spans="1:6">
      <c r="A8" s="5">
        <v>3</v>
      </c>
      <c r="B8" s="5" t="s">
        <v>14</v>
      </c>
      <c r="C8" s="2" t="s">
        <v>15</v>
      </c>
      <c r="D8" s="3" t="s">
        <v>16</v>
      </c>
      <c r="E8" s="2">
        <v>1</v>
      </c>
      <c r="F8" s="4">
        <f>E8*500</f>
        <v>500</v>
      </c>
    </row>
    <row r="9" ht="51" spans="1:6">
      <c r="A9" s="9"/>
      <c r="B9" s="9"/>
      <c r="C9" s="2" t="s">
        <v>17</v>
      </c>
      <c r="D9" s="3" t="s">
        <v>18</v>
      </c>
      <c r="E9" s="2">
        <v>1</v>
      </c>
      <c r="F9" s="4">
        <f>E9*500</f>
        <v>500</v>
      </c>
    </row>
    <row r="10" ht="36" customHeight="1" spans="1:6">
      <c r="A10" s="5" t="s">
        <v>9</v>
      </c>
      <c r="B10" s="5"/>
      <c r="C10" s="5"/>
      <c r="D10" s="5"/>
      <c r="E10" s="5">
        <f>SUM(E6:E9)</f>
        <v>3.5</v>
      </c>
      <c r="F10" s="6">
        <f>SUM(F6:F9)</f>
        <v>1750</v>
      </c>
    </row>
    <row r="11" ht="36" customHeight="1" spans="1:6">
      <c r="A11" s="7"/>
      <c r="B11" s="7"/>
      <c r="C11" s="7"/>
      <c r="D11" s="8"/>
      <c r="E11" s="7"/>
      <c r="F11" s="7"/>
    </row>
    <row r="12" ht="36" customHeight="1" spans="1:6">
      <c r="A12" s="11" t="s">
        <v>19</v>
      </c>
      <c r="B12" s="11"/>
      <c r="C12" s="11"/>
      <c r="D12" s="11"/>
      <c r="E12" s="11"/>
      <c r="F12" s="11"/>
    </row>
    <row r="13" ht="36" customHeight="1" spans="1:6">
      <c r="A13" s="2" t="s">
        <v>0</v>
      </c>
      <c r="B13" s="2" t="s">
        <v>1</v>
      </c>
      <c r="C13" s="2" t="s">
        <v>2</v>
      </c>
      <c r="D13" s="10" t="s">
        <v>3</v>
      </c>
      <c r="E13" s="2" t="s">
        <v>4</v>
      </c>
      <c r="F13" s="2" t="s">
        <v>5</v>
      </c>
    </row>
    <row r="14" ht="36" customHeight="1" spans="1:6">
      <c r="A14" s="5">
        <v>1</v>
      </c>
      <c r="B14" s="5" t="s">
        <v>20</v>
      </c>
      <c r="C14" s="2" t="s">
        <v>21</v>
      </c>
      <c r="D14" s="10" t="s">
        <v>22</v>
      </c>
      <c r="E14" s="2">
        <v>0.5</v>
      </c>
      <c r="F14" s="4">
        <f>E14*500</f>
        <v>250</v>
      </c>
    </row>
    <row r="15" ht="36" customHeight="1" spans="1:6">
      <c r="A15" s="9"/>
      <c r="B15" s="9"/>
      <c r="C15" s="2" t="s">
        <v>23</v>
      </c>
      <c r="D15" s="10" t="s">
        <v>24</v>
      </c>
      <c r="E15" s="2">
        <v>2</v>
      </c>
      <c r="F15" s="4">
        <f>E15*500</f>
        <v>1000</v>
      </c>
    </row>
    <row r="16" ht="36" customHeight="1" spans="1:6">
      <c r="A16" s="2">
        <v>2</v>
      </c>
      <c r="B16" s="2" t="s">
        <v>25</v>
      </c>
      <c r="C16" s="2" t="s">
        <v>25</v>
      </c>
      <c r="D16" s="10" t="s">
        <v>26</v>
      </c>
      <c r="E16" s="2">
        <v>0.5</v>
      </c>
      <c r="F16" s="4">
        <f>E16*500</f>
        <v>250</v>
      </c>
    </row>
    <row r="17" ht="36" customHeight="1" spans="1:6">
      <c r="A17" s="2">
        <v>3</v>
      </c>
      <c r="B17" s="2" t="s">
        <v>27</v>
      </c>
      <c r="C17" s="2" t="s">
        <v>28</v>
      </c>
      <c r="D17" s="10" t="s">
        <v>29</v>
      </c>
      <c r="E17" s="2">
        <v>0.5</v>
      </c>
      <c r="F17" s="4">
        <f>E17*500</f>
        <v>250</v>
      </c>
    </row>
    <row r="18" ht="135" spans="1:6">
      <c r="A18" s="5">
        <v>4</v>
      </c>
      <c r="B18" s="5" t="s">
        <v>30</v>
      </c>
      <c r="C18" s="2" t="s">
        <v>31</v>
      </c>
      <c r="D18" s="3" t="s">
        <v>32</v>
      </c>
      <c r="E18" s="2">
        <v>1.5</v>
      </c>
      <c r="F18" s="4">
        <f>E18*500</f>
        <v>750</v>
      </c>
    </row>
    <row r="19" ht="36" customHeight="1" spans="1:6">
      <c r="A19" s="5">
        <v>5</v>
      </c>
      <c r="B19" s="5" t="s">
        <v>33</v>
      </c>
      <c r="C19" s="2" t="s">
        <v>34</v>
      </c>
      <c r="D19" s="10" t="s">
        <v>35</v>
      </c>
      <c r="E19" s="2">
        <v>0.5</v>
      </c>
      <c r="F19" s="4">
        <f t="shared" ref="F19:F45" si="0">E19*500</f>
        <v>250</v>
      </c>
    </row>
    <row r="20" ht="36" customHeight="1" spans="1:6">
      <c r="A20" s="12"/>
      <c r="B20" s="12"/>
      <c r="C20" s="2" t="s">
        <v>36</v>
      </c>
      <c r="D20" s="10" t="s">
        <v>37</v>
      </c>
      <c r="E20" s="2">
        <v>0.5</v>
      </c>
      <c r="F20" s="4">
        <f t="shared" si="0"/>
        <v>250</v>
      </c>
    </row>
    <row r="21" ht="36" customHeight="1" spans="1:6">
      <c r="A21" s="12"/>
      <c r="B21" s="12"/>
      <c r="C21" s="2" t="s">
        <v>38</v>
      </c>
      <c r="D21" s="10" t="s">
        <v>39</v>
      </c>
      <c r="E21" s="2">
        <v>0</v>
      </c>
      <c r="F21" s="4">
        <f t="shared" si="0"/>
        <v>0</v>
      </c>
    </row>
    <row r="22" ht="36" customHeight="1" spans="1:6">
      <c r="A22" s="12"/>
      <c r="B22" s="12"/>
      <c r="C22" s="2" t="s">
        <v>40</v>
      </c>
      <c r="D22" s="10" t="s">
        <v>41</v>
      </c>
      <c r="E22" s="2">
        <v>0.5</v>
      </c>
      <c r="F22" s="4">
        <f t="shared" si="0"/>
        <v>250</v>
      </c>
    </row>
    <row r="23" ht="36" customHeight="1" spans="1:6">
      <c r="A23" s="9"/>
      <c r="B23" s="9"/>
      <c r="C23" s="2" t="s">
        <v>42</v>
      </c>
      <c r="D23" s="10" t="s">
        <v>43</v>
      </c>
      <c r="E23" s="2">
        <v>0</v>
      </c>
      <c r="F23" s="4">
        <f t="shared" si="0"/>
        <v>0</v>
      </c>
    </row>
    <row r="24" ht="36" customHeight="1" spans="1:6">
      <c r="A24" s="5">
        <v>6</v>
      </c>
      <c r="B24" s="5" t="s">
        <v>44</v>
      </c>
      <c r="C24" s="2" t="s">
        <v>45</v>
      </c>
      <c r="D24" s="3" t="s">
        <v>46</v>
      </c>
      <c r="E24" s="2">
        <v>0.5</v>
      </c>
      <c r="F24" s="4">
        <f t="shared" si="0"/>
        <v>250</v>
      </c>
    </row>
    <row r="25" ht="36" customHeight="1" spans="1:6">
      <c r="A25" s="12"/>
      <c r="B25" s="12"/>
      <c r="C25" s="2" t="s">
        <v>47</v>
      </c>
      <c r="D25" s="10" t="s">
        <v>48</v>
      </c>
      <c r="E25" s="2">
        <v>0.5</v>
      </c>
      <c r="F25" s="4">
        <f t="shared" si="0"/>
        <v>250</v>
      </c>
    </row>
    <row r="26" ht="36" customHeight="1" spans="1:6">
      <c r="A26" s="12"/>
      <c r="B26" s="12"/>
      <c r="C26" s="2" t="s">
        <v>49</v>
      </c>
      <c r="D26" s="10" t="s">
        <v>50</v>
      </c>
      <c r="E26" s="2">
        <v>0.5</v>
      </c>
      <c r="F26" s="4">
        <f t="shared" si="0"/>
        <v>250</v>
      </c>
    </row>
    <row r="27" ht="36" customHeight="1" spans="1:6">
      <c r="A27" s="12"/>
      <c r="B27" s="12"/>
      <c r="C27" s="2" t="s">
        <v>51</v>
      </c>
      <c r="D27" s="10" t="s">
        <v>52</v>
      </c>
      <c r="E27" s="2">
        <v>0.5</v>
      </c>
      <c r="F27" s="4">
        <f t="shared" si="0"/>
        <v>250</v>
      </c>
    </row>
    <row r="28" ht="36" customHeight="1" spans="1:6">
      <c r="A28" s="12"/>
      <c r="B28" s="12"/>
      <c r="C28" s="2" t="s">
        <v>53</v>
      </c>
      <c r="D28" s="10" t="s">
        <v>54</v>
      </c>
      <c r="E28" s="2">
        <v>0.5</v>
      </c>
      <c r="F28" s="4">
        <f t="shared" si="0"/>
        <v>250</v>
      </c>
    </row>
    <row r="29" ht="51" spans="1:6">
      <c r="A29" s="12"/>
      <c r="B29" s="12"/>
      <c r="C29" s="2" t="s">
        <v>55</v>
      </c>
      <c r="D29" s="3" t="s">
        <v>56</v>
      </c>
      <c r="E29" s="2">
        <v>0.5</v>
      </c>
      <c r="F29" s="4">
        <f t="shared" si="0"/>
        <v>250</v>
      </c>
    </row>
    <row r="30" ht="36" customHeight="1" spans="1:6">
      <c r="A30" s="5">
        <v>7</v>
      </c>
      <c r="B30" s="5" t="s">
        <v>57</v>
      </c>
      <c r="C30" s="2" t="s">
        <v>58</v>
      </c>
      <c r="D30" s="10" t="s">
        <v>59</v>
      </c>
      <c r="E30" s="2">
        <v>0.5</v>
      </c>
      <c r="F30" s="4">
        <f t="shared" si="0"/>
        <v>250</v>
      </c>
    </row>
    <row r="31" ht="36" customHeight="1" spans="1:6">
      <c r="A31" s="12"/>
      <c r="B31" s="12"/>
      <c r="C31" s="2" t="s">
        <v>60</v>
      </c>
      <c r="D31" s="10" t="s">
        <v>61</v>
      </c>
      <c r="E31" s="2">
        <v>0.5</v>
      </c>
      <c r="F31" s="4">
        <f t="shared" si="0"/>
        <v>250</v>
      </c>
    </row>
    <row r="32" ht="36" customHeight="1" spans="1:6">
      <c r="A32" s="12"/>
      <c r="B32" s="12"/>
      <c r="C32" s="2" t="s">
        <v>62</v>
      </c>
      <c r="D32" s="10" t="s">
        <v>63</v>
      </c>
      <c r="E32" s="2">
        <v>0.5</v>
      </c>
      <c r="F32" s="4">
        <f t="shared" si="0"/>
        <v>250</v>
      </c>
    </row>
    <row r="33" ht="36" customHeight="1" spans="1:6">
      <c r="A33" s="9"/>
      <c r="B33" s="9"/>
      <c r="C33" s="2" t="s">
        <v>64</v>
      </c>
      <c r="D33" s="10" t="s">
        <v>65</v>
      </c>
      <c r="E33" s="2">
        <v>0.5</v>
      </c>
      <c r="F33" s="4">
        <f t="shared" si="0"/>
        <v>250</v>
      </c>
    </row>
    <row r="34" ht="36" customHeight="1" spans="1:6">
      <c r="A34" s="5">
        <v>8</v>
      </c>
      <c r="B34" s="5" t="s">
        <v>66</v>
      </c>
      <c r="C34" s="2" t="s">
        <v>67</v>
      </c>
      <c r="D34" s="10" t="s">
        <v>68</v>
      </c>
      <c r="E34" s="2">
        <v>0.5</v>
      </c>
      <c r="F34" s="4">
        <f t="shared" si="0"/>
        <v>250</v>
      </c>
    </row>
    <row r="35" ht="36" customHeight="1" spans="1:6">
      <c r="A35" s="12"/>
      <c r="B35" s="12"/>
      <c r="C35" s="2" t="s">
        <v>69</v>
      </c>
      <c r="D35" s="10" t="s">
        <v>70</v>
      </c>
      <c r="E35" s="2">
        <v>0.5</v>
      </c>
      <c r="F35" s="4">
        <f t="shared" si="0"/>
        <v>250</v>
      </c>
    </row>
    <row r="36" ht="36" customHeight="1" spans="1:6">
      <c r="A36" s="12"/>
      <c r="B36" s="12"/>
      <c r="C36" s="2" t="s">
        <v>71</v>
      </c>
      <c r="D36" s="10" t="s">
        <v>72</v>
      </c>
      <c r="E36" s="2">
        <v>0.5</v>
      </c>
      <c r="F36" s="4">
        <f t="shared" si="0"/>
        <v>250</v>
      </c>
    </row>
    <row r="37" ht="36" customHeight="1" spans="1:6">
      <c r="A37" s="12"/>
      <c r="B37" s="12"/>
      <c r="C37" s="2" t="s">
        <v>73</v>
      </c>
      <c r="D37" s="10" t="s">
        <v>74</v>
      </c>
      <c r="E37" s="2">
        <v>0.5</v>
      </c>
      <c r="F37" s="4">
        <f t="shared" si="0"/>
        <v>250</v>
      </c>
    </row>
    <row r="38" ht="36" customHeight="1" spans="1:6">
      <c r="A38" s="12"/>
      <c r="B38" s="12"/>
      <c r="C38" s="2" t="s">
        <v>75</v>
      </c>
      <c r="D38" s="10" t="s">
        <v>76</v>
      </c>
      <c r="E38" s="2">
        <v>0.5</v>
      </c>
      <c r="F38" s="4">
        <f t="shared" si="0"/>
        <v>250</v>
      </c>
    </row>
    <row r="39" ht="36" customHeight="1" spans="1:6">
      <c r="A39" s="12"/>
      <c r="B39" s="12"/>
      <c r="C39" s="2" t="s">
        <v>77</v>
      </c>
      <c r="D39" s="10" t="s">
        <v>78</v>
      </c>
      <c r="E39" s="2">
        <v>0.5</v>
      </c>
      <c r="F39" s="4">
        <f t="shared" si="0"/>
        <v>250</v>
      </c>
    </row>
    <row r="40" ht="36" customHeight="1" spans="1:6">
      <c r="A40" s="12"/>
      <c r="B40" s="12"/>
      <c r="C40" s="2" t="s">
        <v>79</v>
      </c>
      <c r="D40" s="10" t="s">
        <v>80</v>
      </c>
      <c r="E40" s="2">
        <v>0.5</v>
      </c>
      <c r="F40" s="4">
        <f t="shared" si="0"/>
        <v>250</v>
      </c>
    </row>
    <row r="41" ht="36" customHeight="1" spans="1:6">
      <c r="A41" s="9"/>
      <c r="B41" s="9"/>
      <c r="C41" s="2" t="s">
        <v>81</v>
      </c>
      <c r="D41" s="10" t="s">
        <v>82</v>
      </c>
      <c r="E41" s="2">
        <v>0.5</v>
      </c>
      <c r="F41" s="4">
        <f t="shared" si="0"/>
        <v>250</v>
      </c>
    </row>
    <row r="42" ht="36" customHeight="1" spans="1:6">
      <c r="A42" s="5">
        <v>9</v>
      </c>
      <c r="B42" s="5" t="s">
        <v>83</v>
      </c>
      <c r="C42" s="2" t="s">
        <v>84</v>
      </c>
      <c r="D42" s="10" t="s">
        <v>85</v>
      </c>
      <c r="E42" s="2">
        <v>0</v>
      </c>
      <c r="F42" s="4">
        <f t="shared" si="0"/>
        <v>0</v>
      </c>
    </row>
    <row r="43" ht="36" customHeight="1" spans="1:6">
      <c r="A43" s="12"/>
      <c r="B43" s="12"/>
      <c r="C43" s="2" t="s">
        <v>86</v>
      </c>
      <c r="D43" s="10" t="s">
        <v>87</v>
      </c>
      <c r="E43" s="2">
        <v>0</v>
      </c>
      <c r="F43" s="4">
        <f t="shared" si="0"/>
        <v>0</v>
      </c>
    </row>
    <row r="44" ht="36" customHeight="1" spans="1:6">
      <c r="A44" s="5">
        <v>10</v>
      </c>
      <c r="B44" s="5" t="s">
        <v>88</v>
      </c>
      <c r="C44" s="2" t="s">
        <v>89</v>
      </c>
      <c r="D44" s="10" t="s">
        <v>90</v>
      </c>
      <c r="E44" s="2">
        <v>0.5</v>
      </c>
      <c r="F44" s="4">
        <f t="shared" si="0"/>
        <v>250</v>
      </c>
    </row>
    <row r="45" ht="36" customHeight="1" spans="1:6">
      <c r="A45" s="12"/>
      <c r="B45" s="12"/>
      <c r="C45" s="2" t="s">
        <v>91</v>
      </c>
      <c r="D45" s="3" t="s">
        <v>92</v>
      </c>
      <c r="E45" s="2">
        <v>0.5</v>
      </c>
      <c r="F45" s="4">
        <f t="shared" si="0"/>
        <v>250</v>
      </c>
    </row>
    <row r="46" ht="36" customHeight="1" spans="1:6">
      <c r="A46" s="12"/>
      <c r="B46" s="12"/>
      <c r="C46" s="2" t="s">
        <v>93</v>
      </c>
      <c r="D46" s="10" t="s">
        <v>94</v>
      </c>
      <c r="E46" s="2">
        <v>0.5</v>
      </c>
      <c r="F46" s="4">
        <f t="shared" ref="F46:F59" si="1">E46*500</f>
        <v>250</v>
      </c>
    </row>
    <row r="47" ht="36" customHeight="1" spans="1:6">
      <c r="A47" s="12"/>
      <c r="B47" s="12"/>
      <c r="C47" s="2" t="s">
        <v>95</v>
      </c>
      <c r="D47" s="10" t="s">
        <v>96</v>
      </c>
      <c r="E47" s="2">
        <v>0.5</v>
      </c>
      <c r="F47" s="4">
        <f t="shared" si="1"/>
        <v>250</v>
      </c>
    </row>
    <row r="48" ht="36" customHeight="1" spans="1:6">
      <c r="A48" s="12"/>
      <c r="B48" s="12"/>
      <c r="C48" s="2" t="s">
        <v>97</v>
      </c>
      <c r="D48" s="10" t="s">
        <v>98</v>
      </c>
      <c r="E48" s="2">
        <v>0.5</v>
      </c>
      <c r="F48" s="4">
        <f t="shared" si="1"/>
        <v>250</v>
      </c>
    </row>
    <row r="49" ht="36" customHeight="1" spans="1:6">
      <c r="A49" s="12"/>
      <c r="B49" s="12"/>
      <c r="C49" s="2" t="s">
        <v>99</v>
      </c>
      <c r="D49" s="10" t="s">
        <v>100</v>
      </c>
      <c r="E49" s="2">
        <v>0.5</v>
      </c>
      <c r="F49" s="4">
        <f t="shared" si="1"/>
        <v>250</v>
      </c>
    </row>
    <row r="50" ht="36" customHeight="1" spans="1:6">
      <c r="A50" s="12"/>
      <c r="B50" s="12"/>
      <c r="C50" s="2" t="s">
        <v>101</v>
      </c>
      <c r="D50" s="10" t="s">
        <v>102</v>
      </c>
      <c r="E50" s="2">
        <v>0.5</v>
      </c>
      <c r="F50" s="4">
        <f t="shared" si="1"/>
        <v>250</v>
      </c>
    </row>
    <row r="51" ht="36" customHeight="1" spans="1:6">
      <c r="A51" s="12"/>
      <c r="B51" s="12"/>
      <c r="C51" s="2" t="s">
        <v>103</v>
      </c>
      <c r="D51" s="10" t="s">
        <v>104</v>
      </c>
      <c r="E51" s="2">
        <v>0.5</v>
      </c>
      <c r="F51" s="4">
        <f t="shared" si="1"/>
        <v>250</v>
      </c>
    </row>
    <row r="52" ht="36" customHeight="1" spans="1:6">
      <c r="A52" s="12"/>
      <c r="B52" s="12"/>
      <c r="C52" s="2" t="s">
        <v>105</v>
      </c>
      <c r="D52" s="10" t="s">
        <v>106</v>
      </c>
      <c r="E52" s="2">
        <v>0.5</v>
      </c>
      <c r="F52" s="4">
        <f t="shared" si="1"/>
        <v>250</v>
      </c>
    </row>
    <row r="53" ht="36" customHeight="1" spans="1:6">
      <c r="A53" s="12"/>
      <c r="B53" s="12"/>
      <c r="C53" s="2" t="s">
        <v>107</v>
      </c>
      <c r="D53" s="10" t="s">
        <v>108</v>
      </c>
      <c r="E53" s="2">
        <v>0.5</v>
      </c>
      <c r="F53" s="4">
        <f t="shared" si="1"/>
        <v>250</v>
      </c>
    </row>
    <row r="54" ht="36" customHeight="1" spans="1:6">
      <c r="A54" s="12"/>
      <c r="B54" s="12"/>
      <c r="C54" s="2" t="s">
        <v>109</v>
      </c>
      <c r="D54" s="10" t="s">
        <v>110</v>
      </c>
      <c r="E54" s="2">
        <v>0.5</v>
      </c>
      <c r="F54" s="4">
        <f t="shared" si="1"/>
        <v>250</v>
      </c>
    </row>
    <row r="55" ht="36" customHeight="1" spans="1:6">
      <c r="A55" s="12"/>
      <c r="B55" s="12"/>
      <c r="C55" s="2" t="s">
        <v>111</v>
      </c>
      <c r="D55" s="10" t="s">
        <v>112</v>
      </c>
      <c r="E55" s="2">
        <v>0.5</v>
      </c>
      <c r="F55" s="4">
        <f t="shared" si="1"/>
        <v>250</v>
      </c>
    </row>
    <row r="56" ht="36" customHeight="1" spans="1:6">
      <c r="A56" s="9"/>
      <c r="B56" s="9"/>
      <c r="C56" s="13" t="s">
        <v>113</v>
      </c>
      <c r="D56" s="14" t="s">
        <v>114</v>
      </c>
      <c r="E56" s="2">
        <v>0.5</v>
      </c>
      <c r="F56" s="4">
        <f t="shared" si="1"/>
        <v>250</v>
      </c>
    </row>
    <row r="57" ht="36" customHeight="1" spans="1:6">
      <c r="A57" s="2">
        <v>11</v>
      </c>
      <c r="B57" s="5" t="s">
        <v>115</v>
      </c>
      <c r="C57" s="2" t="s">
        <v>116</v>
      </c>
      <c r="D57" s="10" t="s">
        <v>117</v>
      </c>
      <c r="E57" s="2">
        <v>0.5</v>
      </c>
      <c r="F57" s="4">
        <f t="shared" si="1"/>
        <v>250</v>
      </c>
    </row>
    <row r="58" ht="36" customHeight="1" spans="1:6">
      <c r="A58" s="5">
        <v>12</v>
      </c>
      <c r="B58" s="5" t="s">
        <v>118</v>
      </c>
      <c r="C58" s="2" t="s">
        <v>119</v>
      </c>
      <c r="D58" s="10" t="s">
        <v>120</v>
      </c>
      <c r="E58" s="2">
        <v>0.5</v>
      </c>
      <c r="F58" s="4">
        <f t="shared" si="1"/>
        <v>250</v>
      </c>
    </row>
    <row r="59" ht="36" customHeight="1" spans="1:6">
      <c r="A59" s="9"/>
      <c r="B59" s="9"/>
      <c r="C59" s="2" t="s">
        <v>121</v>
      </c>
      <c r="D59" s="10" t="s">
        <v>122</v>
      </c>
      <c r="E59" s="2">
        <v>0</v>
      </c>
      <c r="F59" s="4">
        <f t="shared" si="1"/>
        <v>0</v>
      </c>
    </row>
    <row r="60" ht="36" customHeight="1" spans="1:6">
      <c r="A60" s="5" t="s">
        <v>9</v>
      </c>
      <c r="B60" s="5"/>
      <c r="C60" s="5"/>
      <c r="D60" s="15"/>
      <c r="E60" s="5">
        <f>SUM(E14:E59)</f>
        <v>23</v>
      </c>
      <c r="F60" s="6">
        <f>SUM(F14:F59)</f>
        <v>11500</v>
      </c>
    </row>
    <row r="61" ht="36" customHeight="1" spans="1:6">
      <c r="A61" s="7"/>
      <c r="B61" s="7"/>
      <c r="C61" s="7"/>
      <c r="D61" s="8"/>
      <c r="E61" s="7"/>
      <c r="F61" s="7"/>
    </row>
    <row r="62" ht="36" customHeight="1" spans="1:6">
      <c r="A62" s="2" t="s">
        <v>123</v>
      </c>
      <c r="B62" s="2"/>
      <c r="C62" s="2"/>
      <c r="D62" s="2"/>
      <c r="E62" s="2"/>
      <c r="F62" s="2"/>
    </row>
    <row r="63" ht="36" customHeight="1" spans="1:6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</row>
    <row r="64" ht="36" customHeight="1" spans="1:6">
      <c r="A64" s="5">
        <v>1</v>
      </c>
      <c r="B64" s="5" t="s">
        <v>20</v>
      </c>
      <c r="C64" s="2" t="s">
        <v>21</v>
      </c>
      <c r="D64" s="10" t="s">
        <v>22</v>
      </c>
      <c r="E64" s="2">
        <v>0.5</v>
      </c>
      <c r="F64" s="4">
        <f>E64*500</f>
        <v>250</v>
      </c>
    </row>
    <row r="65" ht="36" customHeight="1" spans="1:6">
      <c r="A65" s="9"/>
      <c r="B65" s="9"/>
      <c r="C65" s="2" t="s">
        <v>23</v>
      </c>
      <c r="D65" s="10" t="s">
        <v>24</v>
      </c>
      <c r="E65" s="2">
        <v>2</v>
      </c>
      <c r="F65" s="4">
        <f t="shared" ref="F65:F102" si="2">E65*500</f>
        <v>1000</v>
      </c>
    </row>
    <row r="66" ht="36" customHeight="1" spans="1:6">
      <c r="A66" s="2">
        <v>2</v>
      </c>
      <c r="B66" s="2" t="s">
        <v>28</v>
      </c>
      <c r="C66" s="2" t="s">
        <v>7</v>
      </c>
      <c r="D66" s="10" t="s">
        <v>124</v>
      </c>
      <c r="E66" s="2">
        <v>0.5</v>
      </c>
      <c r="F66" s="4">
        <f t="shared" si="2"/>
        <v>250</v>
      </c>
    </row>
    <row r="67" ht="36" customHeight="1" spans="1:6">
      <c r="A67" s="2">
        <v>3</v>
      </c>
      <c r="B67" s="2" t="s">
        <v>125</v>
      </c>
      <c r="C67" s="2" t="s">
        <v>7</v>
      </c>
      <c r="D67" s="10" t="s">
        <v>126</v>
      </c>
      <c r="E67" s="2">
        <v>0.5</v>
      </c>
      <c r="F67" s="4">
        <f t="shared" si="2"/>
        <v>250</v>
      </c>
    </row>
    <row r="68" ht="36" customHeight="1" spans="1:6">
      <c r="A68" s="5">
        <v>4</v>
      </c>
      <c r="B68" s="5" t="s">
        <v>127</v>
      </c>
      <c r="C68" s="2" t="s">
        <v>128</v>
      </c>
      <c r="D68" s="10" t="s">
        <v>129</v>
      </c>
      <c r="E68" s="2">
        <v>0.5</v>
      </c>
      <c r="F68" s="4">
        <f t="shared" si="2"/>
        <v>250</v>
      </c>
    </row>
    <row r="69" ht="36" customHeight="1" spans="1:6">
      <c r="A69" s="12"/>
      <c r="B69" s="12"/>
      <c r="C69" s="2" t="s">
        <v>130</v>
      </c>
      <c r="D69" s="10" t="s">
        <v>131</v>
      </c>
      <c r="E69" s="2">
        <v>0.5</v>
      </c>
      <c r="F69" s="4">
        <f t="shared" si="2"/>
        <v>250</v>
      </c>
    </row>
    <row r="70" ht="36" customHeight="1" spans="1:6">
      <c r="A70" s="12"/>
      <c r="B70" s="12"/>
      <c r="C70" s="2" t="s">
        <v>132</v>
      </c>
      <c r="D70" s="10" t="s">
        <v>133</v>
      </c>
      <c r="E70" s="2">
        <v>0.5</v>
      </c>
      <c r="F70" s="4">
        <f t="shared" si="2"/>
        <v>250</v>
      </c>
    </row>
    <row r="71" ht="36" customHeight="1" spans="1:6">
      <c r="A71" s="12"/>
      <c r="B71" s="12"/>
      <c r="C71" s="2" t="s">
        <v>134</v>
      </c>
      <c r="D71" s="10" t="s">
        <v>135</v>
      </c>
      <c r="E71" s="2">
        <v>0.5</v>
      </c>
      <c r="F71" s="4">
        <f t="shared" si="2"/>
        <v>250</v>
      </c>
    </row>
    <row r="72" ht="36" customHeight="1" spans="1:6">
      <c r="A72" s="9"/>
      <c r="B72" s="9"/>
      <c r="C72" s="2" t="s">
        <v>136</v>
      </c>
      <c r="D72" s="10" t="s">
        <v>137</v>
      </c>
      <c r="E72" s="2">
        <v>0.5</v>
      </c>
      <c r="F72" s="4">
        <f t="shared" si="2"/>
        <v>250</v>
      </c>
    </row>
    <row r="73" ht="36" customHeight="1" spans="1:6">
      <c r="A73" s="2">
        <v>5</v>
      </c>
      <c r="B73" s="2" t="s">
        <v>138</v>
      </c>
      <c r="C73" s="2" t="s">
        <v>7</v>
      </c>
      <c r="D73" s="10" t="s">
        <v>139</v>
      </c>
      <c r="E73" s="2">
        <v>0.5</v>
      </c>
      <c r="F73" s="4">
        <f t="shared" si="2"/>
        <v>250</v>
      </c>
    </row>
    <row r="74" ht="36" customHeight="1" spans="1:6">
      <c r="A74" s="2">
        <v>6</v>
      </c>
      <c r="B74" s="2" t="s">
        <v>140</v>
      </c>
      <c r="C74" s="2" t="s">
        <v>7</v>
      </c>
      <c r="D74" s="10" t="s">
        <v>141</v>
      </c>
      <c r="E74" s="2">
        <v>0.5</v>
      </c>
      <c r="F74" s="4">
        <f t="shared" si="2"/>
        <v>250</v>
      </c>
    </row>
    <row r="75" ht="36" customHeight="1" spans="1:6">
      <c r="A75" s="5">
        <v>7</v>
      </c>
      <c r="B75" s="5" t="s">
        <v>142</v>
      </c>
      <c r="C75" s="2" t="s">
        <v>143</v>
      </c>
      <c r="D75" s="10" t="s">
        <v>144</v>
      </c>
      <c r="E75" s="2">
        <v>0.5</v>
      </c>
      <c r="F75" s="4">
        <f t="shared" si="2"/>
        <v>250</v>
      </c>
    </row>
    <row r="76" ht="36" customHeight="1" spans="1:6">
      <c r="A76" s="12"/>
      <c r="B76" s="12"/>
      <c r="C76" s="2" t="s">
        <v>145</v>
      </c>
      <c r="D76" s="10" t="s">
        <v>146</v>
      </c>
      <c r="E76" s="2">
        <v>0.5</v>
      </c>
      <c r="F76" s="4">
        <f t="shared" si="2"/>
        <v>250</v>
      </c>
    </row>
    <row r="77" ht="36" customHeight="1" spans="1:6">
      <c r="A77" s="9"/>
      <c r="B77" s="9"/>
      <c r="C77" s="2" t="s">
        <v>147</v>
      </c>
      <c r="D77" s="10" t="s">
        <v>148</v>
      </c>
      <c r="E77" s="2">
        <v>0.5</v>
      </c>
      <c r="F77" s="4">
        <f t="shared" si="2"/>
        <v>250</v>
      </c>
    </row>
    <row r="78" ht="36" customHeight="1" spans="1:6">
      <c r="A78" s="5">
        <v>8</v>
      </c>
      <c r="B78" s="5" t="s">
        <v>149</v>
      </c>
      <c r="C78" s="2" t="s">
        <v>150</v>
      </c>
      <c r="D78" s="10" t="s">
        <v>151</v>
      </c>
      <c r="E78" s="2">
        <v>0.5</v>
      </c>
      <c r="F78" s="4">
        <f t="shared" si="2"/>
        <v>250</v>
      </c>
    </row>
    <row r="79" ht="36" customHeight="1" spans="1:6">
      <c r="A79" s="9"/>
      <c r="B79" s="9"/>
      <c r="C79" s="2" t="s">
        <v>152</v>
      </c>
      <c r="D79" s="10" t="s">
        <v>153</v>
      </c>
      <c r="E79" s="2">
        <v>0.5</v>
      </c>
      <c r="F79" s="4">
        <f t="shared" si="2"/>
        <v>250</v>
      </c>
    </row>
    <row r="80" ht="36" customHeight="1" spans="1:6">
      <c r="A80" s="5">
        <v>9</v>
      </c>
      <c r="B80" s="5" t="s">
        <v>154</v>
      </c>
      <c r="C80" s="2" t="s">
        <v>155</v>
      </c>
      <c r="D80" s="10" t="s">
        <v>156</v>
      </c>
      <c r="E80" s="2">
        <v>0.5</v>
      </c>
      <c r="F80" s="4">
        <f t="shared" si="2"/>
        <v>250</v>
      </c>
    </row>
    <row r="81" ht="36" customHeight="1" spans="1:6">
      <c r="A81" s="9"/>
      <c r="B81" s="9"/>
      <c r="C81" s="2" t="s">
        <v>157</v>
      </c>
      <c r="D81" s="10" t="s">
        <v>158</v>
      </c>
      <c r="E81" s="2">
        <v>0.5</v>
      </c>
      <c r="F81" s="4">
        <f t="shared" si="2"/>
        <v>250</v>
      </c>
    </row>
    <row r="82" ht="36" customHeight="1" spans="1:6">
      <c r="A82" s="5">
        <v>10</v>
      </c>
      <c r="B82" s="5" t="s">
        <v>159</v>
      </c>
      <c r="C82" s="2" t="s">
        <v>62</v>
      </c>
      <c r="D82" s="10" t="s">
        <v>160</v>
      </c>
      <c r="E82" s="2">
        <v>0.5</v>
      </c>
      <c r="F82" s="4">
        <f t="shared" si="2"/>
        <v>250</v>
      </c>
    </row>
    <row r="83" ht="36" customHeight="1" spans="1:6">
      <c r="A83" s="12"/>
      <c r="B83" s="12"/>
      <c r="C83" s="2" t="s">
        <v>64</v>
      </c>
      <c r="D83" s="10" t="s">
        <v>161</v>
      </c>
      <c r="E83" s="2">
        <v>0.5</v>
      </c>
      <c r="F83" s="4">
        <f t="shared" si="2"/>
        <v>250</v>
      </c>
    </row>
    <row r="84" ht="36" customHeight="1" spans="1:6">
      <c r="A84" s="9"/>
      <c r="B84" s="9"/>
      <c r="C84" s="2" t="s">
        <v>162</v>
      </c>
      <c r="D84" s="10" t="s">
        <v>163</v>
      </c>
      <c r="E84" s="2">
        <v>0.5</v>
      </c>
      <c r="F84" s="4">
        <f t="shared" si="2"/>
        <v>250</v>
      </c>
    </row>
    <row r="85" ht="36" customHeight="1" spans="1:6">
      <c r="A85" s="2">
        <v>11</v>
      </c>
      <c r="B85" s="2" t="s">
        <v>164</v>
      </c>
      <c r="C85" s="2" t="s">
        <v>7</v>
      </c>
      <c r="D85" s="10" t="s">
        <v>165</v>
      </c>
      <c r="E85" s="2">
        <v>0.5</v>
      </c>
      <c r="F85" s="4">
        <f t="shared" si="2"/>
        <v>250</v>
      </c>
    </row>
    <row r="86" ht="36" customHeight="1" spans="1:6">
      <c r="A86" s="5">
        <v>12</v>
      </c>
      <c r="B86" s="5" t="s">
        <v>166</v>
      </c>
      <c r="C86" s="2" t="s">
        <v>167</v>
      </c>
      <c r="D86" s="10" t="s">
        <v>168</v>
      </c>
      <c r="E86" s="2">
        <v>0.5</v>
      </c>
      <c r="F86" s="4">
        <f t="shared" si="2"/>
        <v>250</v>
      </c>
    </row>
    <row r="87" ht="36" customHeight="1" spans="1:6">
      <c r="A87" s="9"/>
      <c r="B87" s="9"/>
      <c r="C87" s="2" t="s">
        <v>169</v>
      </c>
      <c r="D87" s="10" t="s">
        <v>170</v>
      </c>
      <c r="E87" s="2">
        <v>0.5</v>
      </c>
      <c r="F87" s="4">
        <f t="shared" si="2"/>
        <v>250</v>
      </c>
    </row>
    <row r="88" ht="36" customHeight="1" spans="1:6">
      <c r="A88" s="2">
        <v>13</v>
      </c>
      <c r="B88" s="2" t="s">
        <v>171</v>
      </c>
      <c r="C88" s="2" t="s">
        <v>7</v>
      </c>
      <c r="D88" s="10" t="s">
        <v>172</v>
      </c>
      <c r="E88" s="2">
        <v>0.5</v>
      </c>
      <c r="F88" s="4">
        <f t="shared" si="2"/>
        <v>250</v>
      </c>
    </row>
    <row r="89" ht="36" customHeight="1" spans="1:6">
      <c r="A89" s="2">
        <v>14</v>
      </c>
      <c r="B89" s="2" t="s">
        <v>173</v>
      </c>
      <c r="C89" s="2" t="s">
        <v>7</v>
      </c>
      <c r="D89" s="10" t="s">
        <v>174</v>
      </c>
      <c r="E89" s="2">
        <v>0.5</v>
      </c>
      <c r="F89" s="4">
        <f t="shared" si="2"/>
        <v>250</v>
      </c>
    </row>
    <row r="90" ht="36" customHeight="1" spans="1:6">
      <c r="A90" s="5">
        <v>15</v>
      </c>
      <c r="B90" s="5" t="s">
        <v>175</v>
      </c>
      <c r="C90" s="2" t="s">
        <v>176</v>
      </c>
      <c r="D90" s="10" t="s">
        <v>177</v>
      </c>
      <c r="E90" s="2">
        <v>0.5</v>
      </c>
      <c r="F90" s="4">
        <f t="shared" si="2"/>
        <v>250</v>
      </c>
    </row>
    <row r="91" ht="36" customHeight="1" spans="1:6">
      <c r="A91" s="12"/>
      <c r="B91" s="12"/>
      <c r="C91" s="2" t="s">
        <v>178</v>
      </c>
      <c r="D91" s="10" t="s">
        <v>179</v>
      </c>
      <c r="E91" s="2">
        <v>0.5</v>
      </c>
      <c r="F91" s="4">
        <f t="shared" si="2"/>
        <v>250</v>
      </c>
    </row>
    <row r="92" ht="36" customHeight="1" spans="1:6">
      <c r="A92" s="9"/>
      <c r="B92" s="9"/>
      <c r="C92" s="2" t="s">
        <v>180</v>
      </c>
      <c r="D92" s="10" t="s">
        <v>181</v>
      </c>
      <c r="E92" s="2">
        <v>0.5</v>
      </c>
      <c r="F92" s="4">
        <f t="shared" si="2"/>
        <v>250</v>
      </c>
    </row>
    <row r="93" ht="36" customHeight="1" spans="1:6">
      <c r="A93" s="2">
        <v>16</v>
      </c>
      <c r="B93" s="2" t="s">
        <v>182</v>
      </c>
      <c r="C93" s="2" t="s">
        <v>7</v>
      </c>
      <c r="D93" s="10" t="s">
        <v>183</v>
      </c>
      <c r="E93" s="2">
        <v>0.5</v>
      </c>
      <c r="F93" s="4">
        <f t="shared" si="2"/>
        <v>250</v>
      </c>
    </row>
    <row r="94" ht="36" customHeight="1" spans="1:6">
      <c r="A94" s="5">
        <v>17</v>
      </c>
      <c r="B94" s="5" t="s">
        <v>184</v>
      </c>
      <c r="C94" s="2" t="s">
        <v>185</v>
      </c>
      <c r="D94" s="10" t="s">
        <v>186</v>
      </c>
      <c r="E94" s="2">
        <v>0.5</v>
      </c>
      <c r="F94" s="4">
        <f t="shared" si="2"/>
        <v>250</v>
      </c>
    </row>
    <row r="95" ht="36" customHeight="1" spans="1:6">
      <c r="A95" s="9"/>
      <c r="B95" s="9"/>
      <c r="C95" s="2" t="s">
        <v>187</v>
      </c>
      <c r="D95" s="10" t="s">
        <v>188</v>
      </c>
      <c r="E95" s="2">
        <v>0.5</v>
      </c>
      <c r="F95" s="4">
        <f t="shared" si="2"/>
        <v>250</v>
      </c>
    </row>
    <row r="96" ht="36" customHeight="1" spans="1:6">
      <c r="A96" s="5">
        <v>18</v>
      </c>
      <c r="B96" s="5" t="s">
        <v>189</v>
      </c>
      <c r="C96" s="2" t="s">
        <v>190</v>
      </c>
      <c r="D96" s="10" t="s">
        <v>191</v>
      </c>
      <c r="E96" s="2">
        <v>0.5</v>
      </c>
      <c r="F96" s="4">
        <f t="shared" si="2"/>
        <v>250</v>
      </c>
    </row>
    <row r="97" ht="36" customHeight="1" spans="1:6">
      <c r="A97" s="12"/>
      <c r="B97" s="12"/>
      <c r="C97" s="2" t="s">
        <v>192</v>
      </c>
      <c r="D97" s="10" t="s">
        <v>193</v>
      </c>
      <c r="E97" s="2">
        <v>0.5</v>
      </c>
      <c r="F97" s="4">
        <f t="shared" si="2"/>
        <v>250</v>
      </c>
    </row>
    <row r="98" ht="36" customHeight="1" spans="1:6">
      <c r="A98" s="9"/>
      <c r="B98" s="9"/>
      <c r="C98" s="2" t="s">
        <v>194</v>
      </c>
      <c r="D98" s="10" t="s">
        <v>195</v>
      </c>
      <c r="E98" s="2">
        <v>0.5</v>
      </c>
      <c r="F98" s="4">
        <f t="shared" si="2"/>
        <v>250</v>
      </c>
    </row>
    <row r="99" ht="36" customHeight="1" spans="1:6">
      <c r="A99" s="2">
        <v>19</v>
      </c>
      <c r="B99" s="2" t="s">
        <v>196</v>
      </c>
      <c r="C99" s="2" t="s">
        <v>7</v>
      </c>
      <c r="D99" s="10" t="s">
        <v>197</v>
      </c>
      <c r="E99" s="2">
        <v>0.5</v>
      </c>
      <c r="F99" s="4">
        <f t="shared" si="2"/>
        <v>250</v>
      </c>
    </row>
    <row r="100" ht="36" customHeight="1" spans="1:6">
      <c r="A100" s="2">
        <v>20</v>
      </c>
      <c r="B100" s="2" t="s">
        <v>115</v>
      </c>
      <c r="C100" s="2" t="s">
        <v>116</v>
      </c>
      <c r="D100" s="10" t="s">
        <v>198</v>
      </c>
      <c r="E100" s="2">
        <v>0.5</v>
      </c>
      <c r="F100" s="4">
        <f t="shared" si="2"/>
        <v>250</v>
      </c>
    </row>
    <row r="101" ht="36" customHeight="1" spans="1:6">
      <c r="A101" s="5">
        <v>21</v>
      </c>
      <c r="B101" s="5" t="s">
        <v>118</v>
      </c>
      <c r="C101" s="2" t="s">
        <v>199</v>
      </c>
      <c r="D101" s="10" t="s">
        <v>200</v>
      </c>
      <c r="E101" s="2">
        <v>0.5</v>
      </c>
      <c r="F101" s="4">
        <f t="shared" si="2"/>
        <v>250</v>
      </c>
    </row>
    <row r="102" ht="36" customHeight="1" spans="1:6">
      <c r="A102" s="9"/>
      <c r="B102" s="9"/>
      <c r="C102" s="2" t="s">
        <v>121</v>
      </c>
      <c r="D102" s="10" t="s">
        <v>122</v>
      </c>
      <c r="E102" s="2">
        <v>0</v>
      </c>
      <c r="F102" s="4">
        <f t="shared" si="2"/>
        <v>0</v>
      </c>
    </row>
    <row r="103" ht="36" customHeight="1" spans="1:6">
      <c r="A103" s="5" t="s">
        <v>9</v>
      </c>
      <c r="B103" s="5"/>
      <c r="C103" s="5"/>
      <c r="D103" s="5"/>
      <c r="E103" s="5">
        <f>SUM(E64:E102)</f>
        <v>20.5</v>
      </c>
      <c r="F103" s="6">
        <f>SUM(F64:F102)</f>
        <v>10250</v>
      </c>
    </row>
    <row r="104" ht="36" customHeight="1" spans="1:6">
      <c r="A104" s="7"/>
      <c r="B104" s="7"/>
      <c r="C104" s="7"/>
      <c r="D104" s="8"/>
      <c r="E104" s="7"/>
      <c r="F104" s="7"/>
    </row>
    <row r="105" ht="36" customHeight="1" spans="1:6">
      <c r="A105" s="16" t="s">
        <v>201</v>
      </c>
      <c r="B105" s="16"/>
      <c r="C105" s="16"/>
      <c r="D105" s="16"/>
      <c r="E105" s="16"/>
      <c r="F105" s="16"/>
    </row>
    <row r="106" ht="36" customHeight="1" spans="1:6">
      <c r="A106" s="2" t="s">
        <v>202</v>
      </c>
      <c r="B106" s="2" t="s">
        <v>6</v>
      </c>
      <c r="C106" s="2" t="s">
        <v>14</v>
      </c>
      <c r="D106" s="2" t="s">
        <v>203</v>
      </c>
      <c r="E106" s="17" t="s">
        <v>204</v>
      </c>
      <c r="F106" s="18"/>
    </row>
    <row r="107" ht="36" customHeight="1" spans="1:6">
      <c r="A107" s="2" t="s">
        <v>205</v>
      </c>
      <c r="B107" s="2">
        <f>E3</f>
        <v>1</v>
      </c>
      <c r="C107" s="2">
        <f>E10</f>
        <v>3.5</v>
      </c>
      <c r="D107" s="2">
        <f>E60</f>
        <v>23</v>
      </c>
      <c r="E107" s="17">
        <f>E103</f>
        <v>20.5</v>
      </c>
      <c r="F107" s="18"/>
    </row>
    <row r="108" ht="36" customHeight="1" spans="1:6">
      <c r="A108" s="2" t="s">
        <v>206</v>
      </c>
      <c r="B108" s="4">
        <f>F3</f>
        <v>500</v>
      </c>
      <c r="C108" s="4">
        <f>F10</f>
        <v>1750</v>
      </c>
      <c r="D108" s="4">
        <f>F60</f>
        <v>11500</v>
      </c>
      <c r="E108" s="19">
        <f>F103</f>
        <v>10250</v>
      </c>
      <c r="F108" s="20"/>
    </row>
    <row r="109" ht="36" customHeight="1" spans="1:6">
      <c r="A109" s="21" t="s">
        <v>207</v>
      </c>
      <c r="B109" s="5">
        <f>SUM(B107:F107)</f>
        <v>48</v>
      </c>
      <c r="C109" s="21" t="s">
        <v>208</v>
      </c>
      <c r="D109" s="22">
        <f>SUM(B108:F108)</f>
        <v>24000</v>
      </c>
      <c r="E109" s="21" t="s">
        <v>209</v>
      </c>
      <c r="F109" s="6">
        <f>D109*0.825</f>
        <v>19800</v>
      </c>
    </row>
    <row r="110" ht="36" customHeight="1" spans="1:6">
      <c r="A110" s="7"/>
      <c r="B110" s="7"/>
      <c r="C110" s="7"/>
      <c r="D110" s="8"/>
      <c r="E110" s="7"/>
      <c r="F110" s="7"/>
    </row>
    <row r="111" ht="36" customHeight="1" spans="1:6">
      <c r="A111" s="16" t="s">
        <v>210</v>
      </c>
      <c r="B111" s="16"/>
      <c r="C111" s="16"/>
      <c r="D111" s="16"/>
      <c r="E111" s="16"/>
      <c r="F111" s="16"/>
    </row>
    <row r="112" ht="36" customHeight="1" spans="1:6">
      <c r="A112" s="2" t="s">
        <v>211</v>
      </c>
      <c r="B112" s="2" t="s">
        <v>212</v>
      </c>
      <c r="C112" s="2"/>
      <c r="D112" s="2"/>
      <c r="E112" s="2"/>
      <c r="F112" s="2"/>
    </row>
    <row r="113" ht="36" customHeight="1" spans="1:6">
      <c r="A113" s="2" t="s">
        <v>213</v>
      </c>
      <c r="B113" s="23" t="s">
        <v>214</v>
      </c>
      <c r="C113" s="2"/>
      <c r="D113" s="23"/>
      <c r="E113" s="23"/>
      <c r="F113" s="23"/>
    </row>
    <row r="114" ht="36" customHeight="1" spans="1:6">
      <c r="A114" s="2" t="s">
        <v>215</v>
      </c>
      <c r="B114" s="23" t="s">
        <v>216</v>
      </c>
      <c r="C114" s="2"/>
      <c r="D114" s="23"/>
      <c r="E114" s="23"/>
      <c r="F114" s="23"/>
    </row>
    <row r="115" ht="36" customHeight="1" spans="1:6">
      <c r="A115" s="2" t="s">
        <v>217</v>
      </c>
      <c r="B115" s="23" t="s">
        <v>218</v>
      </c>
      <c r="C115" s="2"/>
      <c r="D115" s="23"/>
      <c r="E115" s="23"/>
      <c r="F115" s="23"/>
    </row>
    <row r="116" ht="36" customHeight="1" spans="1:6">
      <c r="A116" s="2" t="s">
        <v>219</v>
      </c>
      <c r="B116" s="23" t="s">
        <v>220</v>
      </c>
      <c r="C116" s="2"/>
      <c r="D116" s="23"/>
      <c r="E116" s="23"/>
      <c r="F116" s="23"/>
    </row>
    <row r="117" ht="36" customHeight="1" spans="1:6">
      <c r="A117" s="2" t="s">
        <v>221</v>
      </c>
      <c r="B117" s="2"/>
      <c r="C117" s="2"/>
      <c r="D117" s="2"/>
      <c r="E117" s="2"/>
      <c r="F117" s="2"/>
    </row>
  </sheetData>
  <mergeCells count="57">
    <mergeCell ref="A3:D3"/>
    <mergeCell ref="A10:D10"/>
    <mergeCell ref="A12:F12"/>
    <mergeCell ref="A60:D60"/>
    <mergeCell ref="A62:F62"/>
    <mergeCell ref="A103:D103"/>
    <mergeCell ref="A105:F105"/>
    <mergeCell ref="E106:F106"/>
    <mergeCell ref="E107:F107"/>
    <mergeCell ref="E108:F108"/>
    <mergeCell ref="A111:F111"/>
    <mergeCell ref="B112:F112"/>
    <mergeCell ref="B113:F113"/>
    <mergeCell ref="B114:F114"/>
    <mergeCell ref="B115:F115"/>
    <mergeCell ref="B116:F116"/>
    <mergeCell ref="A117:F117"/>
    <mergeCell ref="A8:A9"/>
    <mergeCell ref="A14:A15"/>
    <mergeCell ref="A19:A23"/>
    <mergeCell ref="A24:A29"/>
    <mergeCell ref="A30:A33"/>
    <mergeCell ref="A34:A41"/>
    <mergeCell ref="A42:A43"/>
    <mergeCell ref="A44:A56"/>
    <mergeCell ref="A58:A59"/>
    <mergeCell ref="A64:A65"/>
    <mergeCell ref="A68:A72"/>
    <mergeCell ref="A75:A77"/>
    <mergeCell ref="A78:A79"/>
    <mergeCell ref="A80:A81"/>
    <mergeCell ref="A82:A84"/>
    <mergeCell ref="A86:A87"/>
    <mergeCell ref="A90:A92"/>
    <mergeCell ref="A94:A95"/>
    <mergeCell ref="A96:A98"/>
    <mergeCell ref="A101:A102"/>
    <mergeCell ref="B8:B9"/>
    <mergeCell ref="B14:B15"/>
    <mergeCell ref="B19:B23"/>
    <mergeCell ref="B24:B29"/>
    <mergeCell ref="B30:B33"/>
    <mergeCell ref="B34:B41"/>
    <mergeCell ref="B42:B43"/>
    <mergeCell ref="B44:B56"/>
    <mergeCell ref="B58:B59"/>
    <mergeCell ref="B64:B65"/>
    <mergeCell ref="B68:B72"/>
    <mergeCell ref="B75:B77"/>
    <mergeCell ref="B78:B79"/>
    <mergeCell ref="B80:B81"/>
    <mergeCell ref="B82:B84"/>
    <mergeCell ref="B86:B87"/>
    <mergeCell ref="B90:B92"/>
    <mergeCell ref="B94:B95"/>
    <mergeCell ref="B96:B98"/>
    <mergeCell ref="B101:B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鼾静健康项目需求报价_新版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2026-06-15T08:56:00Z</dcterms:created>
  <dcterms:modified xsi:type="dcterms:W3CDTF">2026-06-15T03:16:48Z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CalculationRule">
    <vt:i4>0</vt:i4>
  </property>
  <property fmtid="{D5CDD505-2E9C-101B-9397-08002B2CF9AE}" pid="4" name="ICV">
    <vt:lpwstr>BA19C695964A0FF22ADE2E6A69C7F177_43</vt:lpwstr>
  </property>
</Properties>
</file>